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bordelon/Library/Mobile Documents/com~apple~CloudDocs/"/>
    </mc:Choice>
  </mc:AlternateContent>
  <xr:revisionPtr revIDLastSave="0" documentId="13_ncr:1_{F71A2E4D-1A73-BF4B-A0AB-946A00E7B003}" xr6:coauthVersionLast="47" xr6:coauthVersionMax="47" xr10:uidLastSave="{00000000-0000-0000-0000-000000000000}"/>
  <bookViews>
    <workbookView xWindow="200" yWindow="1500" windowWidth="38140" windowHeight="18760" activeTab="4" xr2:uid="{F1688B69-061A-B54C-81C3-39975E8E7218}"/>
  </bookViews>
  <sheets>
    <sheet name="Assumptions" sheetId="6" r:id="rId1"/>
    <sheet name="Budget Vs Actual" sheetId="1" r:id="rId2"/>
    <sheet name="Scenario Analysis" sheetId="3" r:id="rId3"/>
    <sheet name="Resource Planning" sheetId="2" r:id="rId4"/>
    <sheet name="Executive Dashboard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I2" i="3"/>
  <c r="B21" i="2"/>
  <c r="B20" i="2"/>
  <c r="B19" i="2"/>
  <c r="B18" i="2"/>
  <c r="B17" i="2"/>
  <c r="B15" i="2"/>
  <c r="B14" i="2"/>
  <c r="B13" i="2"/>
  <c r="B11" i="2"/>
  <c r="B10" i="2"/>
  <c r="B9" i="2"/>
  <c r="B8" i="2"/>
  <c r="I60" i="4"/>
  <c r="I58" i="4"/>
  <c r="I57" i="4"/>
  <c r="G58" i="4"/>
  <c r="G59" i="4"/>
  <c r="G60" i="4"/>
  <c r="G57" i="4"/>
  <c r="E58" i="4"/>
  <c r="E59" i="4"/>
  <c r="E60" i="4"/>
  <c r="E57" i="4"/>
  <c r="C58" i="4"/>
  <c r="C59" i="4"/>
  <c r="C60" i="4"/>
  <c r="C57" i="4"/>
  <c r="A58" i="4"/>
  <c r="A59" i="4"/>
  <c r="A60" i="4"/>
  <c r="A57" i="4"/>
  <c r="O8" i="1"/>
  <c r="O7" i="1"/>
  <c r="D2" i="6"/>
  <c r="O9" i="1"/>
  <c r="N4" i="3"/>
  <c r="N2" i="3"/>
  <c r="B7" i="3"/>
  <c r="K4" i="3" s="1"/>
  <c r="M4" i="3" s="1"/>
  <c r="M2" i="3"/>
  <c r="C9" i="3"/>
  <c r="D9" i="3" s="1"/>
  <c r="E9" i="3" s="1"/>
  <c r="C8" i="3"/>
  <c r="D8" i="3" s="1"/>
  <c r="E8" i="3" s="1"/>
  <c r="C7" i="3"/>
  <c r="B8" i="3"/>
  <c r="B9" i="3"/>
  <c r="K22" i="1"/>
  <c r="L22" i="1"/>
  <c r="K21" i="1"/>
  <c r="L21" i="1"/>
  <c r="K20" i="1"/>
  <c r="L20" i="1"/>
  <c r="K19" i="1"/>
  <c r="L19" i="1"/>
  <c r="K18" i="1"/>
  <c r="L18" i="1"/>
  <c r="K17" i="1"/>
  <c r="L17" i="1"/>
  <c r="K16" i="1"/>
  <c r="L16" i="1"/>
  <c r="J16" i="1"/>
  <c r="K15" i="1"/>
  <c r="L15" i="1"/>
  <c r="J22" i="1"/>
  <c r="J21" i="1"/>
  <c r="J20" i="1"/>
  <c r="J19" i="1"/>
  <c r="J18" i="1"/>
  <c r="J17" i="1"/>
  <c r="J15" i="1"/>
  <c r="K14" i="1"/>
  <c r="L14" i="1"/>
  <c r="J14" i="1"/>
  <c r="J12" i="1"/>
  <c r="K13" i="1"/>
  <c r="L13" i="1"/>
  <c r="J13" i="1"/>
  <c r="K12" i="1"/>
  <c r="L12" i="1"/>
  <c r="J11" i="1"/>
  <c r="K11" i="1"/>
  <c r="L11" i="1"/>
  <c r="L2" i="1"/>
  <c r="L5" i="1"/>
  <c r="L4" i="1"/>
  <c r="M4" i="1" s="1"/>
  <c r="L6" i="1"/>
  <c r="L3" i="1"/>
  <c r="K2" i="1"/>
  <c r="K5" i="1"/>
  <c r="K4" i="1"/>
  <c r="K6" i="1"/>
  <c r="K3" i="1"/>
  <c r="J2" i="1"/>
  <c r="J5" i="1"/>
  <c r="J4" i="1"/>
  <c r="J6" i="1"/>
  <c r="J3" i="1"/>
  <c r="A70" i="1"/>
  <c r="A71" i="1"/>
  <c r="A72" i="1"/>
  <c r="A69" i="1"/>
  <c r="A64" i="1"/>
  <c r="A65" i="1"/>
  <c r="A66" i="1"/>
  <c r="A63" i="1"/>
  <c r="A58" i="1"/>
  <c r="A59" i="1"/>
  <c r="A60" i="1"/>
  <c r="A57" i="1"/>
  <c r="D73" i="1"/>
  <c r="C73" i="1"/>
  <c r="E72" i="1"/>
  <c r="F72" i="1" s="1"/>
  <c r="G71" i="1"/>
  <c r="E71" i="1"/>
  <c r="F71" i="1" s="1"/>
  <c r="E70" i="1"/>
  <c r="G70" i="1" s="1"/>
  <c r="E69" i="1"/>
  <c r="G69" i="1" s="1"/>
  <c r="E68" i="1"/>
  <c r="G68" i="1" s="1"/>
  <c r="D67" i="1"/>
  <c r="C67" i="1"/>
  <c r="E66" i="1"/>
  <c r="F66" i="1" s="1"/>
  <c r="E65" i="1"/>
  <c r="G65" i="1" s="1"/>
  <c r="E64" i="1"/>
  <c r="G64" i="1" s="1"/>
  <c r="E63" i="1"/>
  <c r="G63" i="1" s="1"/>
  <c r="E62" i="1"/>
  <c r="G62" i="1" s="1"/>
  <c r="D61" i="1"/>
  <c r="C61" i="1"/>
  <c r="E60" i="1"/>
  <c r="G60" i="1" s="1"/>
  <c r="E59" i="1"/>
  <c r="G59" i="1" s="1"/>
  <c r="E58" i="1"/>
  <c r="F58" i="1" s="1"/>
  <c r="E57" i="1"/>
  <c r="G57" i="1" s="1"/>
  <c r="E56" i="1"/>
  <c r="F56" i="1" s="1"/>
  <c r="A52" i="1"/>
  <c r="A53" i="1"/>
  <c r="A54" i="1"/>
  <c r="A51" i="1"/>
  <c r="A46" i="1"/>
  <c r="A47" i="1"/>
  <c r="A48" i="1"/>
  <c r="A45" i="1"/>
  <c r="A40" i="1"/>
  <c r="A41" i="1"/>
  <c r="A42" i="1"/>
  <c r="A39" i="1"/>
  <c r="A34" i="1"/>
  <c r="A35" i="1"/>
  <c r="A36" i="1"/>
  <c r="A33" i="1"/>
  <c r="D55" i="1"/>
  <c r="C55" i="1"/>
  <c r="E54" i="1"/>
  <c r="G54" i="1" s="1"/>
  <c r="E53" i="1"/>
  <c r="G53" i="1" s="1"/>
  <c r="E52" i="1"/>
  <c r="F52" i="1" s="1"/>
  <c r="E51" i="1"/>
  <c r="G51" i="1" s="1"/>
  <c r="E50" i="1"/>
  <c r="G50" i="1" s="1"/>
  <c r="D49" i="1"/>
  <c r="C49" i="1"/>
  <c r="E48" i="1"/>
  <c r="F48" i="1" s="1"/>
  <c r="E47" i="1"/>
  <c r="G47" i="1" s="1"/>
  <c r="E46" i="1"/>
  <c r="G46" i="1" s="1"/>
  <c r="E45" i="1"/>
  <c r="G45" i="1" s="1"/>
  <c r="E44" i="1"/>
  <c r="F44" i="1" s="1"/>
  <c r="D43" i="1"/>
  <c r="C43" i="1"/>
  <c r="E42" i="1"/>
  <c r="G42" i="1" s="1"/>
  <c r="E41" i="1"/>
  <c r="G41" i="1" s="1"/>
  <c r="E40" i="1"/>
  <c r="F40" i="1" s="1"/>
  <c r="E39" i="1"/>
  <c r="F39" i="1" s="1"/>
  <c r="E38" i="1"/>
  <c r="F38" i="1" s="1"/>
  <c r="D37" i="1"/>
  <c r="C37" i="1"/>
  <c r="E36" i="1"/>
  <c r="G36" i="1" s="1"/>
  <c r="E35" i="1"/>
  <c r="G35" i="1" s="1"/>
  <c r="E34" i="1"/>
  <c r="G34" i="1" s="1"/>
  <c r="E33" i="1"/>
  <c r="F33" i="1" s="1"/>
  <c r="E32" i="1"/>
  <c r="G32" i="1" s="1"/>
  <c r="D31" i="1"/>
  <c r="C31" i="1"/>
  <c r="E30" i="1"/>
  <c r="G30" i="1" s="1"/>
  <c r="E29" i="1"/>
  <c r="G29" i="1" s="1"/>
  <c r="E28" i="1"/>
  <c r="G28" i="1" s="1"/>
  <c r="E27" i="1"/>
  <c r="G27" i="1" s="1"/>
  <c r="E26" i="1"/>
  <c r="G26" i="1" s="1"/>
  <c r="D25" i="1"/>
  <c r="C25" i="1"/>
  <c r="E24" i="1"/>
  <c r="G24" i="1" s="1"/>
  <c r="E23" i="1"/>
  <c r="F23" i="1" s="1"/>
  <c r="E22" i="1"/>
  <c r="G22" i="1" s="1"/>
  <c r="E21" i="1"/>
  <c r="F21" i="1" s="1"/>
  <c r="E20" i="1"/>
  <c r="G20" i="1" s="1"/>
  <c r="D19" i="1"/>
  <c r="C19" i="1"/>
  <c r="E18" i="1"/>
  <c r="F18" i="1" s="1"/>
  <c r="E17" i="1"/>
  <c r="F17" i="1" s="1"/>
  <c r="E16" i="1"/>
  <c r="F16" i="1" s="1"/>
  <c r="E15" i="1"/>
  <c r="G15" i="1" s="1"/>
  <c r="E14" i="1"/>
  <c r="G14" i="1" s="1"/>
  <c r="C13" i="1"/>
  <c r="D13" i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G3" i="1"/>
  <c r="G4" i="1"/>
  <c r="G5" i="1"/>
  <c r="D7" i="1"/>
  <c r="E7" i="1" s="1"/>
  <c r="C7" i="1"/>
  <c r="E3" i="1"/>
  <c r="F3" i="1" s="1"/>
  <c r="E4" i="1"/>
  <c r="F4" i="1" s="1"/>
  <c r="E5" i="1"/>
  <c r="F5" i="1" s="1"/>
  <c r="E6" i="1"/>
  <c r="G6" i="1" s="1"/>
  <c r="E2" i="1"/>
  <c r="G2" i="1" s="1"/>
  <c r="B13" i="6"/>
  <c r="B3" i="6"/>
  <c r="D7" i="3" l="1"/>
  <c r="M3" i="3"/>
  <c r="E7" i="3"/>
  <c r="E10" i="3"/>
  <c r="M5" i="1"/>
  <c r="L7" i="1"/>
  <c r="M2" i="1"/>
  <c r="M3" i="1"/>
  <c r="M6" i="1"/>
  <c r="K7" i="1"/>
  <c r="J7" i="1"/>
  <c r="M7" i="1" s="1"/>
  <c r="G7" i="1"/>
  <c r="F7" i="1"/>
  <c r="E31" i="1"/>
  <c r="E19" i="1"/>
  <c r="E73" i="1"/>
  <c r="G73" i="1" s="1"/>
  <c r="E61" i="1"/>
  <c r="E49" i="1"/>
  <c r="E37" i="1"/>
  <c r="F2" i="1"/>
  <c r="F6" i="1"/>
  <c r="E25" i="1"/>
  <c r="G25" i="1" s="1"/>
  <c r="E67" i="1"/>
  <c r="F67" i="1" s="1"/>
  <c r="E55" i="1"/>
  <c r="G55" i="1" s="1"/>
  <c r="E43" i="1"/>
  <c r="G43" i="1" s="1"/>
  <c r="G52" i="1"/>
  <c r="G21" i="1"/>
  <c r="G38" i="1"/>
  <c r="F42" i="1"/>
  <c r="G66" i="1"/>
  <c r="F51" i="1"/>
  <c r="F46" i="1"/>
  <c r="F41" i="1"/>
  <c r="F27" i="1"/>
  <c r="F22" i="1"/>
  <c r="G61" i="1"/>
  <c r="F61" i="1"/>
  <c r="F70" i="1"/>
  <c r="F64" i="1"/>
  <c r="G56" i="1"/>
  <c r="G72" i="1"/>
  <c r="G58" i="1"/>
  <c r="F63" i="1"/>
  <c r="F60" i="1"/>
  <c r="F57" i="1"/>
  <c r="F65" i="1"/>
  <c r="F69" i="1"/>
  <c r="F62" i="1"/>
  <c r="F59" i="1"/>
  <c r="F68" i="1"/>
  <c r="G37" i="1"/>
  <c r="F37" i="1"/>
  <c r="G49" i="1"/>
  <c r="F49" i="1"/>
  <c r="F43" i="1"/>
  <c r="F53" i="1"/>
  <c r="F54" i="1"/>
  <c r="F32" i="1"/>
  <c r="G44" i="1"/>
  <c r="F45" i="1"/>
  <c r="G33" i="1"/>
  <c r="G48" i="1"/>
  <c r="F34" i="1"/>
  <c r="G39" i="1"/>
  <c r="G40" i="1"/>
  <c r="F36" i="1"/>
  <c r="F50" i="1"/>
  <c r="F47" i="1"/>
  <c r="F35" i="1"/>
  <c r="G31" i="1"/>
  <c r="F31" i="1"/>
  <c r="F28" i="1"/>
  <c r="F29" i="1"/>
  <c r="F30" i="1"/>
  <c r="F26" i="1"/>
  <c r="G23" i="1"/>
  <c r="F24" i="1"/>
  <c r="F20" i="1"/>
  <c r="G17" i="1"/>
  <c r="G19" i="1"/>
  <c r="F19" i="1"/>
  <c r="G18" i="1"/>
  <c r="F15" i="1"/>
  <c r="G16" i="1"/>
  <c r="F14" i="1"/>
  <c r="F13" i="1"/>
  <c r="F12" i="1"/>
  <c r="F8" i="1"/>
  <c r="F9" i="1"/>
  <c r="F10" i="1"/>
  <c r="F11" i="1"/>
  <c r="I59" i="4" l="1"/>
  <c r="N3" i="3"/>
  <c r="G67" i="1"/>
  <c r="F73" i="1"/>
  <c r="F25" i="1"/>
  <c r="F55" i="1"/>
</calcChain>
</file>

<file path=xl/sharedStrings.xml><?xml version="1.0" encoding="utf-8"?>
<sst xmlns="http://schemas.openxmlformats.org/spreadsheetml/2006/main" count="204" uniqueCount="103">
  <si>
    <t>Salaries and Wages</t>
  </si>
  <si>
    <t>Annual Operating Budget</t>
  </si>
  <si>
    <t>Monthly Operating Budget</t>
  </si>
  <si>
    <t>Annual Salary Budget</t>
  </si>
  <si>
    <t>Annual Overtime Budget</t>
  </si>
  <si>
    <t>Annual Benefits Budget</t>
  </si>
  <si>
    <t>Annual Technology Budget</t>
  </si>
  <si>
    <t>Annual Facilities Budget</t>
  </si>
  <si>
    <t>Annual Workload Growth Assumption</t>
  </si>
  <si>
    <t>Expected Salary Increase</t>
  </si>
  <si>
    <t>Employer Benefits Rate</t>
  </si>
  <si>
    <t>Assumption</t>
  </si>
  <si>
    <t>Value</t>
  </si>
  <si>
    <t xml:space="preserve">Budget Validation </t>
  </si>
  <si>
    <t>Month</t>
  </si>
  <si>
    <t>Expense Category</t>
  </si>
  <si>
    <t>January</t>
  </si>
  <si>
    <t>Overtime</t>
  </si>
  <si>
    <t>Benefits</t>
  </si>
  <si>
    <t>Technology</t>
  </si>
  <si>
    <t>Facilities</t>
  </si>
  <si>
    <t>Budget</t>
  </si>
  <si>
    <t xml:space="preserve">Actual </t>
  </si>
  <si>
    <t>Variance ($)</t>
  </si>
  <si>
    <t>Variance (%)</t>
  </si>
  <si>
    <t>Status</t>
  </si>
  <si>
    <t xml:space="preserve">January </t>
  </si>
  <si>
    <t>February</t>
  </si>
  <si>
    <t>March</t>
  </si>
  <si>
    <t>April</t>
  </si>
  <si>
    <t>May</t>
  </si>
  <si>
    <t>Jan Total</t>
  </si>
  <si>
    <t>Feb Total</t>
  </si>
  <si>
    <t>Mar Total</t>
  </si>
  <si>
    <t>Apr Total</t>
  </si>
  <si>
    <t>May Total</t>
  </si>
  <si>
    <t>June Total</t>
  </si>
  <si>
    <t>July Total</t>
  </si>
  <si>
    <t>Aug Total</t>
  </si>
  <si>
    <t>Sep Total</t>
  </si>
  <si>
    <t>June</t>
  </si>
  <si>
    <t xml:space="preserve">July </t>
  </si>
  <si>
    <t xml:space="preserve">August </t>
  </si>
  <si>
    <t>September</t>
  </si>
  <si>
    <t>October</t>
  </si>
  <si>
    <t>Oct Total</t>
  </si>
  <si>
    <t>November</t>
  </si>
  <si>
    <t>Nov Total</t>
  </si>
  <si>
    <t>December</t>
  </si>
  <si>
    <t>Dec total</t>
  </si>
  <si>
    <t>Annual Budget</t>
  </si>
  <si>
    <t>Actual Spending</t>
  </si>
  <si>
    <t>Annual Totals</t>
  </si>
  <si>
    <t>Actual</t>
  </si>
  <si>
    <t>Variance</t>
  </si>
  <si>
    <t>July</t>
  </si>
  <si>
    <t>August</t>
  </si>
  <si>
    <t>Overtime Reduction Target</t>
  </si>
  <si>
    <t>Technology Cost Reduction</t>
  </si>
  <si>
    <t>Scenario Assumptions</t>
  </si>
  <si>
    <t>Current Spending</t>
  </si>
  <si>
    <t>Adjustments ($)</t>
  </si>
  <si>
    <t>Projected Spending</t>
  </si>
  <si>
    <t>Savings/(Additional Cost)</t>
  </si>
  <si>
    <t>Total</t>
  </si>
  <si>
    <t>Scenario</t>
  </si>
  <si>
    <t>OT Reduction</t>
  </si>
  <si>
    <t>Tech Reduction</t>
  </si>
  <si>
    <t xml:space="preserve"> Net Savings</t>
  </si>
  <si>
    <t xml:space="preserve">Risk Level </t>
  </si>
  <si>
    <t>Requires Capacity Review</t>
  </si>
  <si>
    <t>Balanced Compensation</t>
  </si>
  <si>
    <t>High - Capacity Risk</t>
  </si>
  <si>
    <t>Aggressive Compensation</t>
  </si>
  <si>
    <t>Projected Annual Spending</t>
  </si>
  <si>
    <t>Variance to Budget</t>
  </si>
  <si>
    <t>2026 Business Operations</t>
  </si>
  <si>
    <t>Budget Performance | Executive Dashboard</t>
  </si>
  <si>
    <t>2026 Financial Scenario Comparison</t>
  </si>
  <si>
    <t>Management Findings and Recommendations</t>
  </si>
  <si>
    <t>Planning Assumption</t>
  </si>
  <si>
    <t>Current Employees</t>
  </si>
  <si>
    <t>Weekly Hours per Employee</t>
  </si>
  <si>
    <t>Paid Weeks per Year</t>
  </si>
  <si>
    <t>Productive Availability</t>
  </si>
  <si>
    <t>Annual Workload Hours</t>
  </si>
  <si>
    <t>Annual Paid Hours</t>
  </si>
  <si>
    <t>Annual Productive Hours</t>
  </si>
  <si>
    <t>Workload Gap (Hours)</t>
  </si>
  <si>
    <t>Additional FTE Required</t>
  </si>
  <si>
    <t>Annual Salary per Employee</t>
  </si>
  <si>
    <t>Annual Salary + Benefits</t>
  </si>
  <si>
    <t>Annual Cost of Additional Staff</t>
  </si>
  <si>
    <t>Estimated Overtime Hourly Rate</t>
  </si>
  <si>
    <t xml:space="preserve">Overtime Hours Funded </t>
  </si>
  <si>
    <t xml:space="preserve">Productive Overtime Hours </t>
  </si>
  <si>
    <t>Remaining Productive Hours Gap</t>
  </si>
  <si>
    <t>Additional FTE After Overtime</t>
  </si>
  <si>
    <t>RESOURCE PLANNING FINDINGS
Staffing Capacity: The department's 30 employees provide approximately 49,920 productive hours annually, compared with 65,000 hours of modeled workload demand.
Overtime Capacity: Existing overtime spending covers approximately 4,278 additional productive hours, leaving an estimated shortfall of 10,802 hours.
Resource Requirements: Approximately seven additional full-time employees would be needed to cover the remaining workload under the model's assumptions.
Management Recommendation:  Review staffing levels, workload distribution, and overtime utilization before implementing proposed overtime reductions. Although compensation-reallocation scenarios offer potential financial benefits, the current resource model suggests those reductions would increase the staffing gap unless additional capacity or efficiency improvements are introduced.
*All figures are simulated planning estimates, not actual company operating results.*</t>
  </si>
  <si>
    <t>Salary Increase</t>
  </si>
  <si>
    <t xml:space="preserve">Cost-Neutral Compensation </t>
  </si>
  <si>
    <t>Scenario salary increases are modeled without additional changes to employer benefit costs.</t>
  </si>
  <si>
    <t>All data is simulated. Overtime-reduction scenarios are hypothetical and require staffing capacity validation before implementation.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</si>
</sst>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9" formatCode="_(&quot;$&quot;* #,##0_);_(&quot;$&quot;* \(#,##0\);_(&quot;$&quot;* &quot;-&quot;??_);_(@_)"/>
    <numFmt numFmtId="171" formatCode="_(* #,##0_);_(* \(#,##0\);_(* &quot;-&quot;??_);_(@_)"/>
    <numFmt numFmtId="175" formatCode="0.0%"/>
    <numFmt numFmtId="178" formatCode="0.0000%"/>
    <numFmt numFmtId="185" formatCode="&quot;$&quot;#,##0.00"/>
  </numFmts>
  <fonts count="7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Apple Braille"/>
    </font>
    <font>
      <b/>
      <sz val="28"/>
      <color theme="0"/>
      <name val="Apple Braille"/>
    </font>
    <font>
      <sz val="2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9" fontId="0" fillId="0" borderId="0" xfId="0" applyNumberFormat="1"/>
    <xf numFmtId="169" fontId="0" fillId="0" borderId="0" xfId="2" applyNumberFormat="1" applyFont="1"/>
    <xf numFmtId="169" fontId="0" fillId="0" borderId="0" xfId="0" applyNumberFormat="1"/>
    <xf numFmtId="171" fontId="0" fillId="0" borderId="0" xfId="1" applyNumberFormat="1" applyFont="1"/>
    <xf numFmtId="0" fontId="0" fillId="0" borderId="1" xfId="0" applyBorder="1"/>
    <xf numFmtId="169" fontId="0" fillId="0" borderId="1" xfId="2" applyNumberFormat="1" applyFont="1" applyBorder="1"/>
    <xf numFmtId="6" fontId="0" fillId="0" borderId="1" xfId="0" applyNumberFormat="1" applyBorder="1"/>
    <xf numFmtId="10" fontId="0" fillId="0" borderId="1" xfId="0" applyNumberFormat="1" applyBorder="1"/>
    <xf numFmtId="169" fontId="0" fillId="0" borderId="1" xfId="0" applyNumberFormat="1" applyBorder="1"/>
    <xf numFmtId="0" fontId="2" fillId="2" borderId="1" xfId="0" applyFont="1" applyFill="1" applyBorder="1"/>
    <xf numFmtId="169" fontId="2" fillId="2" borderId="1" xfId="0" applyNumberFormat="1" applyFont="1" applyFill="1" applyBorder="1"/>
    <xf numFmtId="10" fontId="2" fillId="2" borderId="1" xfId="0" applyNumberFormat="1" applyFont="1" applyFill="1" applyBorder="1"/>
    <xf numFmtId="43" fontId="0" fillId="0" borderId="1" xfId="1" applyFont="1" applyBorder="1"/>
    <xf numFmtId="44" fontId="2" fillId="2" borderId="1" xfId="2" applyFont="1" applyFill="1" applyBorder="1"/>
    <xf numFmtId="169" fontId="2" fillId="2" borderId="1" xfId="2" applyNumberFormat="1" applyFont="1" applyFill="1" applyBorder="1"/>
    <xf numFmtId="10" fontId="2" fillId="2" borderId="1" xfId="2" applyNumberFormat="1" applyFont="1" applyFill="1" applyBorder="1"/>
    <xf numFmtId="175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78" fontId="0" fillId="0" borderId="1" xfId="0" applyNumberFormat="1" applyBorder="1"/>
    <xf numFmtId="44" fontId="0" fillId="0" borderId="1" xfId="0" applyNumberFormat="1" applyBorder="1"/>
    <xf numFmtId="44" fontId="0" fillId="0" borderId="1" xfId="2" applyNumberFormat="1" applyFont="1" applyBorder="1"/>
    <xf numFmtId="185" fontId="0" fillId="0" borderId="0" xfId="0" applyNumberFormat="1"/>
    <xf numFmtId="10" fontId="0" fillId="0" borderId="1" xfId="3" applyNumberFormat="1" applyFont="1" applyBorder="1"/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185" fontId="0" fillId="0" borderId="1" xfId="0" applyNumberFormat="1" applyBorder="1" applyAlignment="1">
      <alignment horizontal="center"/>
    </xf>
    <xf numFmtId="44" fontId="0" fillId="0" borderId="1" xfId="2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71" fontId="0" fillId="0" borderId="1" xfId="1" applyNumberFormat="1" applyFont="1" applyBorder="1"/>
    <xf numFmtId="10" fontId="0" fillId="0" borderId="1" xfId="1" applyNumberFormat="1" applyFont="1" applyBorder="1"/>
    <xf numFmtId="43" fontId="0" fillId="0" borderId="1" xfId="0" applyNumberFormat="1" applyBorder="1"/>
    <xf numFmtId="171" fontId="0" fillId="0" borderId="1" xfId="0" applyNumberForma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2026 Monthly Budget vs. Actual Spending</a:t>
            </a:r>
            <a:endParaRPr lang="en-US" sz="2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'Budget Vs Actual'!$K$10</c:f>
              <c:strCache>
                <c:ptCount val="1"/>
                <c:pt idx="0">
                  <c:v>Actual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40000"/>
                    <a:lumOff val="60000"/>
                  </a:schemeClr>
                </a:gs>
                <a:gs pos="38000">
                  <a:schemeClr val="accent3">
                    <a:lumMod val="95000"/>
                    <a:lumOff val="5000"/>
                  </a:schemeClr>
                </a:gs>
                <a:gs pos="74000">
                  <a:schemeClr val="accent3">
                    <a:lumMod val="60000"/>
                  </a:schemeClr>
                </a:gs>
              </a:gsLst>
              <a:path path="circle">
                <a:fillToRect l="100000" b="100000"/>
              </a:path>
              <a:tileRect t="-100000" r="-100000"/>
            </a:gradFill>
            <a:ln>
              <a:solidFill>
                <a:schemeClr val="tx1"/>
              </a:solidFill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0"/>
          <c:dPt>
            <c:idx val="9"/>
            <c:invertIfNegative val="0"/>
            <c:bubble3D val="0"/>
            <c:spPr>
              <a:gradFill flip="none" rotWithShape="1"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38000">
                    <a:schemeClr val="accent3">
                      <a:lumMod val="95000"/>
                      <a:lumOff val="5000"/>
                    </a:schemeClr>
                  </a:gs>
                  <a:gs pos="74000">
                    <a:schemeClr val="accent3">
                      <a:lumMod val="60000"/>
                    </a:schemeClr>
                  </a:gs>
                </a:gsLst>
                <a:path path="circle">
                  <a:fillToRect l="100000" b="100000"/>
                </a:path>
                <a:tileRect t="-100000" r="-100000"/>
              </a:gradFill>
              <a:ln cmpd="dbl">
                <a:solidFill>
                  <a:schemeClr val="tx1"/>
                </a:solidFill>
              </a:ln>
              <a:effectLst>
                <a:outerShdw blurRad="57150" dist="19050" dir="540000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341-C447-AACD-8FFAA1E7F600}"/>
              </c:ext>
            </c:extLst>
          </c:dPt>
          <c:cat>
            <c:strRef>
              <c:f>'Budget Vs Actual'!$I$11:$I$22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'Budget Vs Actual'!$K$11:$K$22</c:f>
              <c:numCache>
                <c:formatCode>_("$"* #,##0_);_("$"* \(#,##0\);_("$"* "-"??_);_(@_)</c:formatCode>
                <c:ptCount val="12"/>
                <c:pt idx="0">
                  <c:v>204250</c:v>
                </c:pt>
                <c:pt idx="1">
                  <c:v>201275</c:v>
                </c:pt>
                <c:pt idx="2">
                  <c:v>208650</c:v>
                </c:pt>
                <c:pt idx="3">
                  <c:v>203950</c:v>
                </c:pt>
                <c:pt idx="4">
                  <c:v>209300</c:v>
                </c:pt>
                <c:pt idx="5">
                  <c:v>212400</c:v>
                </c:pt>
                <c:pt idx="6">
                  <c:v>211350</c:v>
                </c:pt>
                <c:pt idx="7">
                  <c:v>216100</c:v>
                </c:pt>
                <c:pt idx="8">
                  <c:v>220700</c:v>
                </c:pt>
                <c:pt idx="9">
                  <c:v>217050</c:v>
                </c:pt>
                <c:pt idx="10">
                  <c:v>224100</c:v>
                </c:pt>
                <c:pt idx="11">
                  <c:v>228300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41-C447-AACD-8FFAA1E7F600}"/>
            </c:ext>
          </c:extLst>
        </c:ser>
        <c:ser>
          <c:idx val="0"/>
          <c:order val="0"/>
          <c:tx>
            <c:strRef>
              <c:f>'Budget Vs Actual'!$J$10</c:f>
              <c:strCache>
                <c:ptCount val="1"/>
                <c:pt idx="0">
                  <c:v>Budget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'Budget Vs Actual'!$I$11:$I$22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'Budget Vs Actual'!$J$11:$J$22</c:f>
              <c:numCache>
                <c:formatCode>_("$"* #,##0_);_("$"* \(#,##0\);_("$"* "-"??_);_(@_)</c:formatCode>
                <c:ptCount val="12"/>
                <c:pt idx="0">
                  <c:v>200000</c:v>
                </c:pt>
                <c:pt idx="1">
                  <c:v>200000</c:v>
                </c:pt>
                <c:pt idx="2">
                  <c:v>200000</c:v>
                </c:pt>
                <c:pt idx="3">
                  <c:v>200000</c:v>
                </c:pt>
                <c:pt idx="4">
                  <c:v>200000</c:v>
                </c:pt>
                <c:pt idx="5">
                  <c:v>200000</c:v>
                </c:pt>
                <c:pt idx="6">
                  <c:v>200000</c:v>
                </c:pt>
                <c:pt idx="7">
                  <c:v>200000</c:v>
                </c:pt>
                <c:pt idx="8">
                  <c:v>200000</c:v>
                </c:pt>
                <c:pt idx="9">
                  <c:v>200000</c:v>
                </c:pt>
                <c:pt idx="10">
                  <c:v>200000</c:v>
                </c:pt>
                <c:pt idx="11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41-C447-AACD-8FFAA1E7F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0298751"/>
        <c:axId val="326090480"/>
      </c:barChart>
      <c:catAx>
        <c:axId val="2090298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090480"/>
        <c:crosses val="autoZero"/>
        <c:auto val="1"/>
        <c:lblAlgn val="ctr"/>
        <c:lblOffset val="100"/>
        <c:noMultiLvlLbl val="0"/>
      </c:catAx>
      <c:valAx>
        <c:axId val="326090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29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ln>
                <a:noFill/>
              </a:ln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Annual Budget Overrun by Expense Category</a:t>
            </a:r>
            <a:endParaRPr lang="en-US" sz="20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 scaled="0"/>
            </a:gra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'Budget Vs Actual'!$I$2:$I$6</c:f>
              <c:strCache>
                <c:ptCount val="5"/>
                <c:pt idx="0">
                  <c:v> Overtime </c:v>
                </c:pt>
                <c:pt idx="1">
                  <c:v> Salaries and Wages </c:v>
                </c:pt>
                <c:pt idx="2">
                  <c:v> Technology </c:v>
                </c:pt>
                <c:pt idx="3">
                  <c:v> Benefits </c:v>
                </c:pt>
                <c:pt idx="4">
                  <c:v> Facilities </c:v>
                </c:pt>
              </c:strCache>
            </c:strRef>
          </c:cat>
          <c:val>
            <c:numRef>
              <c:f>'Budget Vs Actual'!$L$2:$L$6</c:f>
              <c:numCache>
                <c:formatCode>_("$"* #,##0_);_("$"* \(#,##0\);_("$"* "-"??_);_(@_)</c:formatCode>
                <c:ptCount val="5"/>
                <c:pt idx="0">
                  <c:v>65100</c:v>
                </c:pt>
                <c:pt idx="1">
                  <c:v>49800</c:v>
                </c:pt>
                <c:pt idx="2">
                  <c:v>16150</c:v>
                </c:pt>
                <c:pt idx="3">
                  <c:v>13575</c:v>
                </c:pt>
                <c:pt idx="4">
                  <c:v>12800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4-3D4B-9246-25C70EB1A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0298751"/>
        <c:axId val="326090480"/>
      </c:barChart>
      <c:catAx>
        <c:axId val="209029875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090480"/>
        <c:crosses val="autoZero"/>
        <c:auto val="1"/>
        <c:lblAlgn val="ctr"/>
        <c:lblOffset val="100"/>
        <c:noMultiLvlLbl val="0"/>
      </c:catAx>
      <c:valAx>
        <c:axId val="3260904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29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17366</xdr:colOff>
      <xdr:row>3</xdr:row>
      <xdr:rowOff>91143</xdr:rowOff>
    </xdr:from>
    <xdr:to>
      <xdr:col>3</xdr:col>
      <xdr:colOff>296766</xdr:colOff>
      <xdr:row>11</xdr:row>
      <xdr:rowOff>103843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DF69C31B-3911-6767-0938-E1A56D971667}"/>
            </a:ext>
          </a:extLst>
        </xdr:cNvPr>
        <xdr:cNvGrpSpPr/>
      </xdr:nvGrpSpPr>
      <xdr:grpSpPr>
        <a:xfrm>
          <a:off x="17366" y="1248254"/>
          <a:ext cx="4216400" cy="1931811"/>
          <a:chOff x="1371600" y="1485900"/>
          <a:chExt cx="5473700" cy="1943100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A695B945-3C27-DD3F-E5A7-EAAF9698DBEE}"/>
              </a:ext>
            </a:extLst>
          </xdr:cNvPr>
          <xdr:cNvSpPr/>
        </xdr:nvSpPr>
        <xdr:spPr>
          <a:xfrm>
            <a:off x="1371600" y="1485900"/>
            <a:ext cx="5473700" cy="1943100"/>
          </a:xfrm>
          <a:prstGeom prst="rect">
            <a:avLst/>
          </a:prstGeom>
          <a:gradFill>
            <a:gsLst>
              <a:gs pos="0">
                <a:schemeClr val="dk1">
                  <a:lumMod val="65000"/>
                  <a:lumOff val="35000"/>
                </a:schemeClr>
              </a:gs>
              <a:gs pos="100000">
                <a:schemeClr val="dk1">
                  <a:lumMod val="85000"/>
                  <a:lumOff val="15000"/>
                </a:schemeClr>
              </a:gs>
            </a:gsLst>
            <a:path path="circle">
              <a:fillToRect l="50000" t="50000" r="50000" b="50000"/>
            </a:path>
          </a:gra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Assumptions!D2">
        <xdr:nvSpPr>
          <xdr:cNvPr id="3" name="TextBox 2">
            <a:extLst>
              <a:ext uri="{FF2B5EF4-FFF2-40B4-BE49-F238E27FC236}">
                <a16:creationId xmlns:a16="http://schemas.microsoft.com/office/drawing/2014/main" id="{F92378B0-B393-843B-6E2F-485FCFCBCC4C}"/>
              </a:ext>
            </a:extLst>
          </xdr:cNvPr>
          <xdr:cNvSpPr txBox="1"/>
        </xdr:nvSpPr>
        <xdr:spPr>
          <a:xfrm>
            <a:off x="1689100" y="1574800"/>
            <a:ext cx="4953000" cy="172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0629044-E977-0442-942A-646462FED335}" type="TxLink">
              <a:rPr lang="en-US" sz="2800" b="0" i="0" u="none" strike="noStrike">
                <a:solidFill>
                  <a:schemeClr val="bg1"/>
                </a:solidFill>
                <a:latin typeface="Apple Braille" pitchFamily="2" charset="0"/>
                <a:cs typeface="Calibri"/>
              </a:rPr>
              <a:pPr algn="ctr"/>
              <a:t>Annual Operating Budget
$2,400,000</a:t>
            </a:fld>
            <a:endParaRPr lang="en-US" sz="2800">
              <a:solidFill>
                <a:schemeClr val="bg1"/>
              </a:solidFill>
              <a:latin typeface="Apple Braille" pitchFamily="2" charset="0"/>
            </a:endParaRPr>
          </a:p>
        </xdr:txBody>
      </xdr:sp>
    </xdr:grpSp>
    <xdr:clientData/>
  </xdr:twoCellAnchor>
  <xdr:twoCellAnchor>
    <xdr:from>
      <xdr:col>4</xdr:col>
      <xdr:colOff>556748</xdr:colOff>
      <xdr:row>3</xdr:row>
      <xdr:rowOff>105578</xdr:rowOff>
    </xdr:from>
    <xdr:to>
      <xdr:col>9</xdr:col>
      <xdr:colOff>1308846</xdr:colOff>
      <xdr:row>11</xdr:row>
      <xdr:rowOff>118278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B01A1C9F-81DA-5748-BF85-A5FB221F9031}"/>
            </a:ext>
          </a:extLst>
        </xdr:cNvPr>
        <xdr:cNvGrpSpPr/>
      </xdr:nvGrpSpPr>
      <xdr:grpSpPr>
        <a:xfrm>
          <a:off x="5453304" y="1262689"/>
          <a:ext cx="4519764" cy="1931811"/>
          <a:chOff x="1371600" y="1485900"/>
          <a:chExt cx="5473700" cy="1943100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A32FB96C-DAFF-E56F-B763-D44C3C894068}"/>
              </a:ext>
            </a:extLst>
          </xdr:cNvPr>
          <xdr:cNvSpPr/>
        </xdr:nvSpPr>
        <xdr:spPr>
          <a:xfrm>
            <a:off x="1371600" y="1485900"/>
            <a:ext cx="5473700" cy="1943100"/>
          </a:xfrm>
          <a:prstGeom prst="rect">
            <a:avLst/>
          </a:prstGeom>
          <a:gradFill>
            <a:gsLst>
              <a:gs pos="0">
                <a:schemeClr val="dk1">
                  <a:lumMod val="65000"/>
                  <a:lumOff val="35000"/>
                </a:schemeClr>
              </a:gs>
              <a:gs pos="100000">
                <a:schemeClr val="dk1">
                  <a:lumMod val="85000"/>
                  <a:lumOff val="15000"/>
                </a:schemeClr>
              </a:gs>
            </a:gsLst>
            <a:path path="circle">
              <a:fillToRect l="50000" t="50000" r="50000" b="50000"/>
            </a:path>
          </a:gra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Budget Vs Actual'!O7">
        <xdr:nvSpPr>
          <xdr:cNvPr id="9" name="TextBox 8">
            <a:extLst>
              <a:ext uri="{FF2B5EF4-FFF2-40B4-BE49-F238E27FC236}">
                <a16:creationId xmlns:a16="http://schemas.microsoft.com/office/drawing/2014/main" id="{B3538F31-682B-DB3D-6963-E6FC7930B822}"/>
              </a:ext>
            </a:extLst>
          </xdr:cNvPr>
          <xdr:cNvSpPr txBox="1"/>
        </xdr:nvSpPr>
        <xdr:spPr>
          <a:xfrm>
            <a:off x="1689100" y="1574800"/>
            <a:ext cx="4953000" cy="172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EA06138-2B61-394B-8458-DF88BF7F82EC}" type="TxLink">
              <a:rPr lang="en-US" sz="2800" b="0" i="0" u="none" strike="noStrike">
                <a:solidFill>
                  <a:schemeClr val="bg1"/>
                </a:solidFill>
                <a:latin typeface="Apple Braille" pitchFamily="2" charset="0"/>
                <a:cs typeface="Calibri"/>
              </a:rPr>
              <a:t>Actual Spending
$2,557,425</a:t>
            </a:fld>
            <a:endParaRPr lang="en-US" sz="2800">
              <a:solidFill>
                <a:schemeClr val="bg1"/>
              </a:solidFill>
              <a:latin typeface="Apple Braille" pitchFamily="2" charset="0"/>
            </a:endParaRPr>
          </a:p>
        </xdr:txBody>
      </xdr:sp>
    </xdr:grpSp>
    <xdr:clientData/>
  </xdr:twoCellAnchor>
  <xdr:twoCellAnchor>
    <xdr:from>
      <xdr:col>0</xdr:col>
      <xdr:colOff>0</xdr:colOff>
      <xdr:row>12</xdr:row>
      <xdr:rowOff>8971</xdr:rowOff>
    </xdr:from>
    <xdr:to>
      <xdr:col>3</xdr:col>
      <xdr:colOff>279400</xdr:colOff>
      <xdr:row>20</xdr:row>
      <xdr:rowOff>21671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4782774C-C182-734B-9E21-8602F00EFF74}"/>
            </a:ext>
          </a:extLst>
        </xdr:cNvPr>
        <xdr:cNvGrpSpPr/>
      </xdr:nvGrpSpPr>
      <xdr:grpSpPr>
        <a:xfrm>
          <a:off x="0" y="3325082"/>
          <a:ext cx="4216400" cy="1931811"/>
          <a:chOff x="1371600" y="1485900"/>
          <a:chExt cx="5473700" cy="1943100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CC7E4CFC-C30B-0F79-CD17-8AAF31BC2478}"/>
              </a:ext>
            </a:extLst>
          </xdr:cNvPr>
          <xdr:cNvSpPr/>
        </xdr:nvSpPr>
        <xdr:spPr>
          <a:xfrm>
            <a:off x="1371600" y="1485900"/>
            <a:ext cx="5473700" cy="1943100"/>
          </a:xfrm>
          <a:prstGeom prst="rect">
            <a:avLst/>
          </a:prstGeom>
          <a:gradFill>
            <a:gsLst>
              <a:gs pos="0">
                <a:schemeClr val="dk1">
                  <a:lumMod val="65000"/>
                  <a:lumOff val="35000"/>
                </a:schemeClr>
              </a:gs>
              <a:gs pos="100000">
                <a:schemeClr val="dk1">
                  <a:lumMod val="85000"/>
                  <a:lumOff val="15000"/>
                </a:schemeClr>
              </a:gs>
            </a:gsLst>
            <a:path path="circle">
              <a:fillToRect l="50000" t="50000" r="50000" b="50000"/>
            </a:path>
          </a:gra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Budget Vs Actual'!O8">
        <xdr:nvSpPr>
          <xdr:cNvPr id="12" name="TextBox 11">
            <a:extLst>
              <a:ext uri="{FF2B5EF4-FFF2-40B4-BE49-F238E27FC236}">
                <a16:creationId xmlns:a16="http://schemas.microsoft.com/office/drawing/2014/main" id="{B424B544-4F93-BE42-B4BB-B82DED4392AE}"/>
              </a:ext>
            </a:extLst>
          </xdr:cNvPr>
          <xdr:cNvSpPr txBox="1"/>
        </xdr:nvSpPr>
        <xdr:spPr>
          <a:xfrm>
            <a:off x="1689100" y="1574800"/>
            <a:ext cx="4953000" cy="172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FFD6F2A-2A08-B94F-8C89-20219FAB90C4}" type="TxLink">
              <a:rPr lang="en-US" sz="2800" b="0" i="0" u="none" strike="noStrike">
                <a:solidFill>
                  <a:schemeClr val="bg1"/>
                </a:solidFill>
                <a:latin typeface="Apple Braille" pitchFamily="2" charset="0"/>
                <a:cs typeface="Calibri"/>
              </a:rPr>
              <a:t>Budget Overrun
$157,425</a:t>
            </a:fld>
            <a:endParaRPr lang="en-US" sz="2800">
              <a:solidFill>
                <a:schemeClr val="bg1"/>
              </a:solidFill>
              <a:latin typeface="Apple Braille" pitchFamily="2" charset="0"/>
            </a:endParaRPr>
          </a:p>
        </xdr:txBody>
      </xdr:sp>
    </xdr:grpSp>
    <xdr:clientData/>
  </xdr:twoCellAnchor>
  <xdr:twoCellAnchor>
    <xdr:from>
      <xdr:col>4</xdr:col>
      <xdr:colOff>591177</xdr:colOff>
      <xdr:row>11</xdr:row>
      <xdr:rowOff>234750</xdr:rowOff>
    </xdr:from>
    <xdr:to>
      <xdr:col>9</xdr:col>
      <xdr:colOff>1309433</xdr:colOff>
      <xdr:row>20</xdr:row>
      <xdr:rowOff>7561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92AB732F-DDAA-404B-8353-B1A8AA0E82F1}"/>
            </a:ext>
          </a:extLst>
        </xdr:cNvPr>
        <xdr:cNvGrpSpPr/>
      </xdr:nvGrpSpPr>
      <xdr:grpSpPr>
        <a:xfrm>
          <a:off x="5487733" y="3310972"/>
          <a:ext cx="4485922" cy="1931811"/>
          <a:chOff x="1371600" y="1485900"/>
          <a:chExt cx="5473700" cy="1943100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BB89C304-4656-BF20-1F65-C3F34E8A0437}"/>
              </a:ext>
            </a:extLst>
          </xdr:cNvPr>
          <xdr:cNvSpPr/>
        </xdr:nvSpPr>
        <xdr:spPr>
          <a:xfrm>
            <a:off x="1371600" y="1485900"/>
            <a:ext cx="5473700" cy="1943100"/>
          </a:xfrm>
          <a:prstGeom prst="rect">
            <a:avLst/>
          </a:prstGeom>
          <a:gradFill>
            <a:gsLst>
              <a:gs pos="0">
                <a:schemeClr val="dk1">
                  <a:lumMod val="65000"/>
                  <a:lumOff val="35000"/>
                </a:schemeClr>
              </a:gs>
              <a:gs pos="100000">
                <a:schemeClr val="dk1">
                  <a:lumMod val="85000"/>
                  <a:lumOff val="15000"/>
                </a:schemeClr>
              </a:gs>
            </a:gsLst>
            <a:path path="circle">
              <a:fillToRect l="50000" t="50000" r="50000" b="50000"/>
            </a:path>
          </a:gradFill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Budget Vs Actual'!O9">
        <xdr:nvSpPr>
          <xdr:cNvPr id="15" name="TextBox 14">
            <a:extLst>
              <a:ext uri="{FF2B5EF4-FFF2-40B4-BE49-F238E27FC236}">
                <a16:creationId xmlns:a16="http://schemas.microsoft.com/office/drawing/2014/main" id="{4883641D-9BED-E242-94C3-272561B27321}"/>
              </a:ext>
            </a:extLst>
          </xdr:cNvPr>
          <xdr:cNvSpPr txBox="1"/>
        </xdr:nvSpPr>
        <xdr:spPr>
          <a:xfrm>
            <a:off x="1689100" y="1574800"/>
            <a:ext cx="4953000" cy="172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CFCEBB8-B8AF-A342-B737-611030D5B12A}" type="TxLink">
              <a:rPr lang="en-US" sz="2800" b="0" i="0" u="none" strike="noStrike">
                <a:solidFill>
                  <a:schemeClr val="bg1"/>
                </a:solidFill>
                <a:latin typeface="Apple Braille" pitchFamily="2" charset="0"/>
                <a:cs typeface="Calibri"/>
              </a:rPr>
              <a:t>Budget Variance
6.56%</a:t>
            </a:fld>
            <a:endParaRPr lang="en-US" sz="2800">
              <a:solidFill>
                <a:schemeClr val="bg1"/>
              </a:solidFill>
              <a:latin typeface="Apple Braille" pitchFamily="2" charset="0"/>
            </a:endParaRPr>
          </a:p>
        </xdr:txBody>
      </xdr:sp>
    </xdr:grpSp>
    <xdr:clientData/>
  </xdr:twoCellAnchor>
  <xdr:twoCellAnchor>
    <xdr:from>
      <xdr:col>0</xdr:col>
      <xdr:colOff>0</xdr:colOff>
      <xdr:row>20</xdr:row>
      <xdr:rowOff>133797</xdr:rowOff>
    </xdr:from>
    <xdr:to>
      <xdr:col>10</xdr:col>
      <xdr:colOff>0</xdr:colOff>
      <xdr:row>37</xdr:row>
      <xdr:rowOff>139488</xdr:rowOff>
    </xdr:to>
    <xdr:graphicFrame macro="">
      <xdr:nvGraphicFramePr>
        <xdr:cNvPr id="16" name="Chart 2">
          <a:extLst>
            <a:ext uri="{FF2B5EF4-FFF2-40B4-BE49-F238E27FC236}">
              <a16:creationId xmlns:a16="http://schemas.microsoft.com/office/drawing/2014/main" id="{4B07148E-06DF-E58B-5E97-AF9BCC7A1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5825</xdr:colOff>
      <xdr:row>38</xdr:row>
      <xdr:rowOff>18043</xdr:rowOff>
    </xdr:from>
    <xdr:to>
      <xdr:col>10</xdr:col>
      <xdr:colOff>0</xdr:colOff>
      <xdr:row>54</xdr:row>
      <xdr:rowOff>159523</xdr:rowOff>
    </xdr:to>
    <xdr:graphicFrame macro="">
      <xdr:nvGraphicFramePr>
        <xdr:cNvPr id="17" name="Chart 3">
          <a:extLst>
            <a:ext uri="{FF2B5EF4-FFF2-40B4-BE49-F238E27FC236}">
              <a16:creationId xmlns:a16="http://schemas.microsoft.com/office/drawing/2014/main" id="{BECE985D-7035-B3E2-60A3-89EFFBB34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ChatGPT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Calibri Light"/>
      <a:ea typeface="Calibri Light"/>
      <a:cs typeface="Calibri Light"/>
    </a:majorFont>
    <a:minorFont>
      <a:latin typeface="Calibri"/>
      <a:ea typeface="Calibri"/>
      <a:cs typeface="Calibri"/>
    </a:minorFont>
  </a:fontScheme>
  <a:fmtScheme name="ChatGPT">
    <a:fillStyleLst>
      <a:solidFill>
        <a:schemeClr val="phClr"/>
      </a:solidFill>
      <a:gradFill>
        <a:gsLst>
          <a:gs pos="0">
            <a:schemeClr val="phClr">
              <a:tint val="67000"/>
              <a:lumMod val="110000"/>
              <a:satMod val="105000"/>
            </a:schemeClr>
          </a:gs>
          <a:gs pos="50000">
            <a:schemeClr val="phClr">
              <a:tint val="73000"/>
              <a:lumMod val="105000"/>
              <a:satMod val="103000"/>
            </a:schemeClr>
          </a:gs>
          <a:gs pos="100000">
            <a:schemeClr val="phClr">
              <a:tint val="81000"/>
              <a:lumMod val="105000"/>
              <a:satMod val="109000"/>
            </a:schemeClr>
          </a:gs>
        </a:gsLst>
        <a:lin ang="5400000" scaled="0"/>
      </a:gradFill>
      <a:gradFill>
        <a:gsLst>
          <a:gs pos="0">
            <a:schemeClr val="phClr">
              <a:tint val="94000"/>
              <a:lumMod val="102000"/>
              <a:satMod val="103000"/>
            </a:schemeClr>
          </a:gs>
          <a:gs pos="50000">
            <a:schemeClr val="phClr">
              <a:shade val="100000"/>
              <a:lumMod val="100000"/>
              <a:satMod val="110000"/>
            </a:schemeClr>
          </a:gs>
          <a:gs pos="100000">
            <a:schemeClr val="phClr">
              <a:shade val="78000"/>
              <a:lumMod val="99000"/>
              <a:satMod val="120000"/>
            </a:schemeClr>
          </a:gs>
        </a:gsLst>
        <a:lin ang="5400000" scaled="0"/>
      </a:gradFill>
    </a:fillStyleLst>
    <a:lnStyleLst>
      <a:ln w="12700">
        <a:solidFill>
          <a:schemeClr val="phClr"/>
        </a:solidFill>
        <a:prstDash val="solid"/>
      </a:ln>
      <a:ln w="19050">
        <a:solidFill>
          <a:schemeClr val="phClr"/>
        </a:solidFill>
        <a:prstDash val="solid"/>
      </a:ln>
      <a:ln w="25400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>
        <a:gsLst>
          <a:gs pos="0">
            <a:schemeClr val="phClr">
              <a:tint val="93000"/>
              <a:shade val="98000"/>
              <a:lumMod val="102000"/>
              <a:satMod val="150000"/>
            </a:schemeClr>
          </a:gs>
          <a:gs pos="50000">
            <a:schemeClr val="phClr">
              <a:tint val="98000"/>
              <a:shade val="90000"/>
              <a:lumMod val="103000"/>
              <a:satMod val="130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ChatGPT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Calibri Light"/>
      <a:ea typeface="Calibri Light"/>
      <a:cs typeface="Calibri Light"/>
    </a:majorFont>
    <a:minorFont>
      <a:latin typeface="Calibri"/>
      <a:ea typeface="Calibri"/>
      <a:cs typeface="Calibri"/>
    </a:minorFont>
  </a:fontScheme>
  <a:fmtScheme name="ChatGPT">
    <a:fillStyleLst>
      <a:solidFill>
        <a:schemeClr val="phClr"/>
      </a:solidFill>
      <a:gradFill>
        <a:gsLst>
          <a:gs pos="0">
            <a:schemeClr val="phClr">
              <a:tint val="67000"/>
              <a:lumMod val="110000"/>
              <a:satMod val="105000"/>
            </a:schemeClr>
          </a:gs>
          <a:gs pos="50000">
            <a:schemeClr val="phClr">
              <a:tint val="73000"/>
              <a:lumMod val="105000"/>
              <a:satMod val="103000"/>
            </a:schemeClr>
          </a:gs>
          <a:gs pos="100000">
            <a:schemeClr val="phClr">
              <a:tint val="81000"/>
              <a:lumMod val="105000"/>
              <a:satMod val="109000"/>
            </a:schemeClr>
          </a:gs>
        </a:gsLst>
        <a:lin ang="5400000" scaled="0"/>
      </a:gradFill>
      <a:gradFill>
        <a:gsLst>
          <a:gs pos="0">
            <a:schemeClr val="phClr">
              <a:tint val="94000"/>
              <a:lumMod val="102000"/>
              <a:satMod val="103000"/>
            </a:schemeClr>
          </a:gs>
          <a:gs pos="50000">
            <a:schemeClr val="phClr">
              <a:shade val="100000"/>
              <a:lumMod val="100000"/>
              <a:satMod val="110000"/>
            </a:schemeClr>
          </a:gs>
          <a:gs pos="100000">
            <a:schemeClr val="phClr">
              <a:shade val="78000"/>
              <a:lumMod val="99000"/>
              <a:satMod val="120000"/>
            </a:schemeClr>
          </a:gs>
        </a:gsLst>
        <a:lin ang="5400000" scaled="0"/>
      </a:gradFill>
    </a:fillStyleLst>
    <a:lnStyleLst>
      <a:ln w="12700">
        <a:solidFill>
          <a:schemeClr val="phClr"/>
        </a:solidFill>
        <a:prstDash val="solid"/>
      </a:ln>
      <a:ln w="19050">
        <a:solidFill>
          <a:schemeClr val="phClr"/>
        </a:solidFill>
        <a:prstDash val="solid"/>
      </a:ln>
      <a:ln w="25400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>
        <a:gsLst>
          <a:gs pos="0">
            <a:schemeClr val="phClr">
              <a:tint val="93000"/>
              <a:shade val="98000"/>
              <a:lumMod val="102000"/>
              <a:satMod val="150000"/>
            </a:schemeClr>
          </a:gs>
          <a:gs pos="50000">
            <a:schemeClr val="phClr">
              <a:tint val="98000"/>
              <a:shade val="90000"/>
              <a:lumMod val="103000"/>
              <a:satMod val="130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2107-C05F-AA4A-A41B-1CDB9B224466}">
  <dimension ref="A1:D15"/>
  <sheetViews>
    <sheetView workbookViewId="0">
      <selection activeCell="A15" sqref="A15"/>
    </sheetView>
  </sheetViews>
  <sheetFormatPr baseColWidth="10" defaultRowHeight="19" x14ac:dyDescent="0.25"/>
  <cols>
    <col min="1" max="1" width="31.5703125" bestFit="1" customWidth="1"/>
    <col min="2" max="2" width="11" bestFit="1" customWidth="1"/>
    <col min="4" max="4" width="29.5703125" bestFit="1" customWidth="1"/>
  </cols>
  <sheetData>
    <row r="1" spans="1:4" x14ac:dyDescent="0.25">
      <c r="A1" t="s">
        <v>11</v>
      </c>
      <c r="B1" t="s">
        <v>12</v>
      </c>
    </row>
    <row r="2" spans="1:4" x14ac:dyDescent="0.25">
      <c r="A2" t="s">
        <v>1</v>
      </c>
      <c r="B2" s="2">
        <v>2400000</v>
      </c>
      <c r="D2" s="26" t="str">
        <f>_xlfn.CONCAT(A2,CHAR(10), TEXT(B2,"$#,##0"))</f>
        <v>Annual Operating Budget
$2,400,000</v>
      </c>
    </row>
    <row r="3" spans="1:4" x14ac:dyDescent="0.25">
      <c r="A3" t="s">
        <v>2</v>
      </c>
      <c r="B3" s="2">
        <f>B2/12</f>
        <v>200000</v>
      </c>
    </row>
    <row r="4" spans="1:4" x14ac:dyDescent="0.25">
      <c r="A4" t="s">
        <v>3</v>
      </c>
      <c r="B4" s="2">
        <v>1440000</v>
      </c>
    </row>
    <row r="5" spans="1:4" x14ac:dyDescent="0.25">
      <c r="A5" t="s">
        <v>4</v>
      </c>
      <c r="B5" s="2">
        <v>120000</v>
      </c>
    </row>
    <row r="6" spans="1:4" x14ac:dyDescent="0.25">
      <c r="A6" t="s">
        <v>5</v>
      </c>
      <c r="B6" s="2">
        <v>360000</v>
      </c>
    </row>
    <row r="7" spans="1:4" x14ac:dyDescent="0.25">
      <c r="A7" t="s">
        <v>6</v>
      </c>
      <c r="B7" s="2">
        <v>240000</v>
      </c>
    </row>
    <row r="8" spans="1:4" x14ac:dyDescent="0.25">
      <c r="A8" t="s">
        <v>7</v>
      </c>
      <c r="B8" s="2">
        <v>240000</v>
      </c>
    </row>
    <row r="9" spans="1:4" x14ac:dyDescent="0.25">
      <c r="A9" t="s">
        <v>8</v>
      </c>
      <c r="B9" s="1">
        <v>0.1</v>
      </c>
    </row>
    <row r="10" spans="1:4" x14ac:dyDescent="0.25">
      <c r="A10" t="s">
        <v>9</v>
      </c>
      <c r="B10" s="1">
        <v>0.03</v>
      </c>
    </row>
    <row r="11" spans="1:4" x14ac:dyDescent="0.25">
      <c r="A11" t="s">
        <v>10</v>
      </c>
      <c r="B11" s="1">
        <v>0.25</v>
      </c>
    </row>
    <row r="13" spans="1:4" x14ac:dyDescent="0.25">
      <c r="A13" t="s">
        <v>13</v>
      </c>
      <c r="B13" s="3">
        <f>B2-SUM(B4:B8)</f>
        <v>0</v>
      </c>
    </row>
    <row r="15" spans="1:4" x14ac:dyDescent="0.25">
      <c r="A15" t="s">
        <v>101</v>
      </c>
    </row>
  </sheetData>
  <pageMargins left="0.7" right="0.7" top="0.75" bottom="0.75" header="0.3" footer="0.3"/>
  <ignoredErrors>
    <ignoredError sqref="B1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F9A3-E2D1-A24C-BFC6-9391FA24A8D5}">
  <dimension ref="A1:O73"/>
  <sheetViews>
    <sheetView zoomScale="95" zoomScaleNormal="95" workbookViewId="0">
      <selection activeCell="K2" sqref="K2"/>
    </sheetView>
  </sheetViews>
  <sheetFormatPr baseColWidth="10" defaultRowHeight="19" x14ac:dyDescent="0.25"/>
  <cols>
    <col min="1" max="1" width="9.85546875" bestFit="1" customWidth="1"/>
    <col min="2" max="2" width="16.5703125" bestFit="1" customWidth="1"/>
    <col min="3" max="4" width="10" bestFit="1" customWidth="1"/>
    <col min="5" max="5" width="10.85546875" bestFit="1" customWidth="1"/>
    <col min="6" max="6" width="11.28515625" bestFit="1" customWidth="1"/>
    <col min="7" max="7" width="12.28515625" bestFit="1" customWidth="1"/>
    <col min="9" max="9" width="17.7109375" bestFit="1" customWidth="1"/>
    <col min="10" max="10" width="14" bestFit="1" customWidth="1"/>
    <col min="11" max="11" width="14.85546875" bestFit="1" customWidth="1"/>
    <col min="12" max="12" width="12.28515625" bestFit="1" customWidth="1"/>
    <col min="13" max="13" width="11" bestFit="1" customWidth="1"/>
  </cols>
  <sheetData>
    <row r="1" spans="1:15" x14ac:dyDescent="0.25">
      <c r="A1" s="10" t="s">
        <v>14</v>
      </c>
      <c r="B1" s="10" t="s">
        <v>15</v>
      </c>
      <c r="C1" s="10" t="s">
        <v>21</v>
      </c>
      <c r="D1" s="10" t="s">
        <v>22</v>
      </c>
      <c r="E1" s="10" t="s">
        <v>23</v>
      </c>
      <c r="F1" s="10" t="s">
        <v>24</v>
      </c>
      <c r="G1" s="10" t="s">
        <v>25</v>
      </c>
      <c r="I1" s="10" t="s">
        <v>15</v>
      </c>
      <c r="J1" s="10" t="s">
        <v>50</v>
      </c>
      <c r="K1" s="10" t="s">
        <v>51</v>
      </c>
      <c r="L1" s="10" t="s">
        <v>23</v>
      </c>
      <c r="M1" s="10" t="s">
        <v>24</v>
      </c>
    </row>
    <row r="2" spans="1:15" x14ac:dyDescent="0.25">
      <c r="A2" s="5" t="s">
        <v>26</v>
      </c>
      <c r="B2" s="5" t="s">
        <v>0</v>
      </c>
      <c r="C2" s="6">
        <v>120000</v>
      </c>
      <c r="D2" s="6">
        <v>121600</v>
      </c>
      <c r="E2" s="7">
        <f>D2-C2</f>
        <v>1600</v>
      </c>
      <c r="F2" s="8">
        <f>IFERROR(E2/C2,0)</f>
        <v>1.3333333333333334E-2</v>
      </c>
      <c r="G2" s="5" t="str">
        <f>IF(E2&gt;0,"Over Budget",IF(E2&lt;0,"Under Budget","On Budget"))</f>
        <v>Over Budget</v>
      </c>
      <c r="I2" s="13" t="s">
        <v>17</v>
      </c>
      <c r="J2" s="6">
        <f>SUMIF($B$2:$B$72,I2,$C$2:$C$72)</f>
        <v>120000</v>
      </c>
      <c r="K2" s="6">
        <f>SUMIF($B$2:$B$72,I2,$D$2:$D$72)</f>
        <v>185100</v>
      </c>
      <c r="L2" s="6">
        <f>SUMIF($B$2:$B$72,I2,$E$2:$E$72)</f>
        <v>65100</v>
      </c>
      <c r="M2" s="27">
        <f>IFERROR(L2/J2,0)</f>
        <v>0.54249999999999998</v>
      </c>
    </row>
    <row r="3" spans="1:15" x14ac:dyDescent="0.25">
      <c r="A3" s="5" t="s">
        <v>26</v>
      </c>
      <c r="B3" s="5" t="s">
        <v>17</v>
      </c>
      <c r="C3" s="6">
        <v>10000</v>
      </c>
      <c r="D3" s="6">
        <v>12400</v>
      </c>
      <c r="E3" s="7">
        <f t="shared" ref="E3:E6" si="0">D3-C3</f>
        <v>2400</v>
      </c>
      <c r="F3" s="8">
        <f t="shared" ref="F3:F7" si="1">IFERROR(E3/C3,0)</f>
        <v>0.24</v>
      </c>
      <c r="G3" s="5" t="str">
        <f t="shared" ref="G3:G7" si="2">IF(E3&gt;0,"Over Budget",IF(E3&lt;0,"Under Budget","On Budget"))</f>
        <v>Over Budget</v>
      </c>
      <c r="I3" s="13" t="s">
        <v>0</v>
      </c>
      <c r="J3" s="6">
        <f>SUMIF($B$2:$B$72,I3,$C$2:$C$72)</f>
        <v>1440000</v>
      </c>
      <c r="K3" s="6">
        <f>SUMIF($B$2:$B$72,I3,$D$2:$D$72)</f>
        <v>1489800</v>
      </c>
      <c r="L3" s="6">
        <f>SUMIF($B$2:$B$72,I3,$E$2:$E$72)</f>
        <v>49800</v>
      </c>
      <c r="M3" s="27">
        <f>IFERROR(L3/J3,0)</f>
        <v>3.4583333333333334E-2</v>
      </c>
    </row>
    <row r="4" spans="1:15" x14ac:dyDescent="0.25">
      <c r="A4" s="5" t="s">
        <v>26</v>
      </c>
      <c r="B4" s="5" t="s">
        <v>18</v>
      </c>
      <c r="C4" s="6">
        <v>30000</v>
      </c>
      <c r="D4" s="6">
        <v>30450</v>
      </c>
      <c r="E4" s="7">
        <f t="shared" si="0"/>
        <v>450</v>
      </c>
      <c r="F4" s="8">
        <f t="shared" si="1"/>
        <v>1.4999999999999999E-2</v>
      </c>
      <c r="G4" s="5" t="str">
        <f t="shared" si="2"/>
        <v>Over Budget</v>
      </c>
      <c r="I4" s="13" t="s">
        <v>19</v>
      </c>
      <c r="J4" s="6">
        <f>SUMIF($B$2:$B$72,I4,$C$2:$C$72)</f>
        <v>240000</v>
      </c>
      <c r="K4" s="6">
        <f>SUMIF($B$2:$B$72,I4,$D$2:$D$72)</f>
        <v>256150</v>
      </c>
      <c r="L4" s="6">
        <f>SUMIF($B$2:$B$72,I4,$E$2:$E$72)</f>
        <v>16150</v>
      </c>
      <c r="M4" s="27">
        <f>IFERROR(L4/J4,0)</f>
        <v>6.7291666666666666E-2</v>
      </c>
    </row>
    <row r="5" spans="1:15" x14ac:dyDescent="0.25">
      <c r="A5" s="5" t="s">
        <v>26</v>
      </c>
      <c r="B5" s="5" t="s">
        <v>19</v>
      </c>
      <c r="C5" s="6">
        <v>20000</v>
      </c>
      <c r="D5" s="6">
        <v>19200</v>
      </c>
      <c r="E5" s="7">
        <f t="shared" si="0"/>
        <v>-800</v>
      </c>
      <c r="F5" s="8">
        <f t="shared" si="1"/>
        <v>-0.04</v>
      </c>
      <c r="G5" s="5" t="str">
        <f t="shared" si="2"/>
        <v>Under Budget</v>
      </c>
      <c r="I5" s="13" t="s">
        <v>18</v>
      </c>
      <c r="J5" s="6">
        <f>SUMIF($B$2:$B$72,I5,$C$2:$C$72)</f>
        <v>360000</v>
      </c>
      <c r="K5" s="6">
        <f>SUMIF($B$2:$B$72,I5,$D$2:$D$72)</f>
        <v>373575</v>
      </c>
      <c r="L5" s="6">
        <f>SUMIF($B$2:$B$72,I5,$E$2:$E$72)</f>
        <v>13575</v>
      </c>
      <c r="M5" s="27">
        <f>IFERROR(L5/J5,0)</f>
        <v>3.7708333333333337E-2</v>
      </c>
    </row>
    <row r="6" spans="1:15" x14ac:dyDescent="0.25">
      <c r="A6" s="5" t="s">
        <v>26</v>
      </c>
      <c r="B6" s="5" t="s">
        <v>20</v>
      </c>
      <c r="C6" s="6">
        <v>20000</v>
      </c>
      <c r="D6" s="6">
        <v>20600</v>
      </c>
      <c r="E6" s="7">
        <f t="shared" si="0"/>
        <v>600</v>
      </c>
      <c r="F6" s="8">
        <f t="shared" si="1"/>
        <v>0.03</v>
      </c>
      <c r="G6" s="5" t="str">
        <f t="shared" si="2"/>
        <v>Over Budget</v>
      </c>
      <c r="I6" s="13" t="s">
        <v>20</v>
      </c>
      <c r="J6" s="6">
        <f>SUMIF($B$2:$B$72,I6,$C$2:$C$72)</f>
        <v>240000</v>
      </c>
      <c r="K6" s="6">
        <f>SUMIF($B$2:$B$72,I6,$D$2:$D$72)</f>
        <v>252800</v>
      </c>
      <c r="L6" s="6">
        <f>SUMIF($B$2:$B$72,I6,$E$2:$E$72)</f>
        <v>12800</v>
      </c>
      <c r="M6" s="27">
        <f>IFERROR(L6/J6,0)</f>
        <v>5.3333333333333337E-2</v>
      </c>
    </row>
    <row r="7" spans="1:15" x14ac:dyDescent="0.25">
      <c r="A7" s="10" t="s">
        <v>31</v>
      </c>
      <c r="B7" s="10"/>
      <c r="C7" s="11">
        <f>SUM(C2:C6)</f>
        <v>200000</v>
      </c>
      <c r="D7" s="11">
        <f t="shared" ref="D7:E7" si="3">SUM(D2:D6)</f>
        <v>204250</v>
      </c>
      <c r="E7" s="11">
        <f>D7-C7</f>
        <v>4250</v>
      </c>
      <c r="F7" s="12">
        <f t="shared" si="1"/>
        <v>2.1250000000000002E-2</v>
      </c>
      <c r="G7" s="10" t="str">
        <f t="shared" si="2"/>
        <v>Over Budget</v>
      </c>
      <c r="I7" s="10" t="s">
        <v>52</v>
      </c>
      <c r="J7" s="15">
        <f>SUM(J2:J6)</f>
        <v>2400000</v>
      </c>
      <c r="K7" s="15">
        <f t="shared" ref="K7:L7" si="4">SUM(K2:K6)</f>
        <v>2557425</v>
      </c>
      <c r="L7" s="15">
        <f t="shared" si="4"/>
        <v>157425</v>
      </c>
      <c r="M7" s="16">
        <f t="shared" ref="M3:M7" si="5">IFERROR(L7/J7,0)</f>
        <v>6.5593750000000006E-2</v>
      </c>
      <c r="O7" t="str">
        <f>_xlfn.CONCAT("Actual Spending",CHAR(10),TEXT(K7,"$##,#00"))</f>
        <v>Actual Spending
$2,557,425</v>
      </c>
    </row>
    <row r="8" spans="1:15" x14ac:dyDescent="0.25">
      <c r="A8" s="5" t="s">
        <v>27</v>
      </c>
      <c r="B8" s="5" t="s">
        <v>0</v>
      </c>
      <c r="C8" s="6">
        <v>120000</v>
      </c>
      <c r="D8" s="6">
        <v>119500</v>
      </c>
      <c r="E8" s="7">
        <f>D8-C8</f>
        <v>-500</v>
      </c>
      <c r="F8" s="8">
        <f>IFERROR(E8/C8,0)</f>
        <v>-4.1666666666666666E-3</v>
      </c>
      <c r="G8" s="5" t="str">
        <f>IF(E8&gt;0,"Over Budget",IF(E8&lt;0,"Under Budget","On Budget"))</f>
        <v>Under Budget</v>
      </c>
      <c r="O8" t="str">
        <f>_xlfn.CONCAT("Budget Overrun",CHAR(10),TEXT(L7,"$##,#00"))</f>
        <v>Budget Overrun
$157,425</v>
      </c>
    </row>
    <row r="9" spans="1:15" x14ac:dyDescent="0.25">
      <c r="A9" s="5" t="s">
        <v>27</v>
      </c>
      <c r="B9" s="5" t="s">
        <v>17</v>
      </c>
      <c r="C9" s="6">
        <v>10000</v>
      </c>
      <c r="D9" s="6">
        <v>11200</v>
      </c>
      <c r="E9" s="7">
        <f t="shared" ref="E9:E12" si="6">D9-C9</f>
        <v>1200</v>
      </c>
      <c r="F9" s="8">
        <f t="shared" ref="F9:F13" si="7">IFERROR(E9/C9,0)</f>
        <v>0.12</v>
      </c>
      <c r="G9" s="5" t="str">
        <f t="shared" ref="G9:G13" si="8">IF(E9&gt;0,"Over Budget",IF(E9&lt;0,"Under Budget","On Budget"))</f>
        <v>Over Budget</v>
      </c>
      <c r="O9" t="str">
        <f>_xlfn.CONCAT("Budget Variance",CHAR(10),TEXT(M7,"0.00%"))</f>
        <v>Budget Variance
6.56%</v>
      </c>
    </row>
    <row r="10" spans="1:15" x14ac:dyDescent="0.25">
      <c r="A10" s="5" t="s">
        <v>27</v>
      </c>
      <c r="B10" s="5" t="s">
        <v>18</v>
      </c>
      <c r="C10" s="6">
        <v>30000</v>
      </c>
      <c r="D10" s="6">
        <v>29875</v>
      </c>
      <c r="E10" s="7">
        <f t="shared" si="6"/>
        <v>-125</v>
      </c>
      <c r="F10" s="8">
        <f t="shared" si="7"/>
        <v>-4.1666666666666666E-3</v>
      </c>
      <c r="G10" s="5" t="str">
        <f t="shared" si="8"/>
        <v>Under Budget</v>
      </c>
      <c r="I10" s="10" t="s">
        <v>14</v>
      </c>
      <c r="J10" s="10" t="s">
        <v>21</v>
      </c>
      <c r="K10" s="10" t="s">
        <v>53</v>
      </c>
      <c r="L10" s="10" t="s">
        <v>54</v>
      </c>
    </row>
    <row r="11" spans="1:15" x14ac:dyDescent="0.25">
      <c r="A11" s="5" t="s">
        <v>27</v>
      </c>
      <c r="B11" s="5" t="s">
        <v>19</v>
      </c>
      <c r="C11" s="6">
        <v>20000</v>
      </c>
      <c r="D11" s="6">
        <v>21400</v>
      </c>
      <c r="E11" s="7">
        <f t="shared" si="6"/>
        <v>1400</v>
      </c>
      <c r="F11" s="8">
        <f t="shared" si="7"/>
        <v>7.0000000000000007E-2</v>
      </c>
      <c r="G11" s="5" t="str">
        <f t="shared" si="8"/>
        <v>Over Budget</v>
      </c>
      <c r="I11" s="5" t="s">
        <v>16</v>
      </c>
      <c r="J11" s="9">
        <f>C7</f>
        <v>200000</v>
      </c>
      <c r="K11" s="9">
        <f t="shared" ref="K11:L11" si="9">D7</f>
        <v>204250</v>
      </c>
      <c r="L11" s="9">
        <f t="shared" si="9"/>
        <v>4250</v>
      </c>
    </row>
    <row r="12" spans="1:15" x14ac:dyDescent="0.25">
      <c r="A12" s="5" t="s">
        <v>27</v>
      </c>
      <c r="B12" s="5" t="s">
        <v>20</v>
      </c>
      <c r="C12" s="6">
        <v>20000</v>
      </c>
      <c r="D12" s="6">
        <v>19300</v>
      </c>
      <c r="E12" s="7">
        <f t="shared" si="6"/>
        <v>-700</v>
      </c>
      <c r="F12" s="8">
        <f t="shared" si="7"/>
        <v>-3.5000000000000003E-2</v>
      </c>
      <c r="G12" s="5" t="str">
        <f t="shared" si="8"/>
        <v>Under Budget</v>
      </c>
      <c r="I12" s="5" t="s">
        <v>27</v>
      </c>
      <c r="J12" s="9">
        <f>C13</f>
        <v>200000</v>
      </c>
      <c r="K12" s="9">
        <f t="shared" ref="K12:L12" si="10">D13</f>
        <v>201275</v>
      </c>
      <c r="L12" s="9">
        <f t="shared" si="10"/>
        <v>1275</v>
      </c>
    </row>
    <row r="13" spans="1:15" x14ac:dyDescent="0.25">
      <c r="A13" s="10" t="s">
        <v>32</v>
      </c>
      <c r="B13" s="10"/>
      <c r="C13" s="11">
        <f>SUM(C8:C12)</f>
        <v>200000</v>
      </c>
      <c r="D13" s="11">
        <f>SUM(D8:D12)</f>
        <v>201275</v>
      </c>
      <c r="E13" s="11">
        <f>D13-C13</f>
        <v>1275</v>
      </c>
      <c r="F13" s="12">
        <f t="shared" si="7"/>
        <v>6.3749999999999996E-3</v>
      </c>
      <c r="G13" s="10" t="str">
        <f t="shared" si="8"/>
        <v>Over Budget</v>
      </c>
      <c r="I13" s="5" t="s">
        <v>28</v>
      </c>
      <c r="J13" s="9">
        <f>C19</f>
        <v>200000</v>
      </c>
      <c r="K13" s="9">
        <f t="shared" ref="K13:L13" si="11">D19</f>
        <v>208650</v>
      </c>
      <c r="L13" s="9">
        <f t="shared" si="11"/>
        <v>8650</v>
      </c>
    </row>
    <row r="14" spans="1:15" x14ac:dyDescent="0.25">
      <c r="A14" s="5" t="s">
        <v>28</v>
      </c>
      <c r="B14" s="5" t="s">
        <v>0</v>
      </c>
      <c r="C14" s="6">
        <v>120000</v>
      </c>
      <c r="D14" s="6">
        <v>123200</v>
      </c>
      <c r="E14" s="7">
        <f>D14-C14</f>
        <v>3200</v>
      </c>
      <c r="F14" s="8">
        <f>IFERROR(E14/C14,0)</f>
        <v>2.6666666666666668E-2</v>
      </c>
      <c r="G14" s="5" t="str">
        <f>IF(E14&gt;0,"Over Budget",IF(E14&lt;0,"Under Budget","On Budget"))</f>
        <v>Over Budget</v>
      </c>
      <c r="I14" s="5" t="s">
        <v>29</v>
      </c>
      <c r="J14" s="9">
        <f>C25</f>
        <v>200000</v>
      </c>
      <c r="K14" s="9">
        <f t="shared" ref="K14:L14" si="12">D25</f>
        <v>203950</v>
      </c>
      <c r="L14" s="9">
        <f t="shared" si="12"/>
        <v>3950</v>
      </c>
    </row>
    <row r="15" spans="1:15" x14ac:dyDescent="0.25">
      <c r="A15" s="5" t="s">
        <v>28</v>
      </c>
      <c r="B15" s="5" t="s">
        <v>17</v>
      </c>
      <c r="C15" s="6">
        <v>10000</v>
      </c>
      <c r="D15" s="6">
        <v>13800</v>
      </c>
      <c r="E15" s="7">
        <f t="shared" ref="E15:E18" si="13">D15-C15</f>
        <v>3800</v>
      </c>
      <c r="F15" s="8">
        <f t="shared" ref="F15:F19" si="14">IFERROR(E15/C15,0)</f>
        <v>0.38</v>
      </c>
      <c r="G15" s="5" t="str">
        <f t="shared" ref="G15:G19" si="15">IF(E15&gt;0,"Over Budget",IF(E15&lt;0,"Under Budget","On Budget"))</f>
        <v>Over Budget</v>
      </c>
      <c r="I15" s="5" t="s">
        <v>30</v>
      </c>
      <c r="J15" s="9">
        <f>C31</f>
        <v>200000</v>
      </c>
      <c r="K15" s="9">
        <f t="shared" ref="K15:L15" si="16">D31</f>
        <v>209300</v>
      </c>
      <c r="L15" s="9">
        <f t="shared" si="16"/>
        <v>9300</v>
      </c>
    </row>
    <row r="16" spans="1:15" x14ac:dyDescent="0.25">
      <c r="A16" s="5" t="s">
        <v>28</v>
      </c>
      <c r="B16" s="5" t="s">
        <v>18</v>
      </c>
      <c r="C16" s="6">
        <v>30000</v>
      </c>
      <c r="D16" s="6">
        <v>30800</v>
      </c>
      <c r="E16" s="7">
        <f t="shared" si="13"/>
        <v>800</v>
      </c>
      <c r="F16" s="8">
        <f t="shared" si="14"/>
        <v>2.6666666666666668E-2</v>
      </c>
      <c r="G16" s="5" t="str">
        <f t="shared" si="15"/>
        <v>Over Budget</v>
      </c>
      <c r="I16" s="5" t="s">
        <v>40</v>
      </c>
      <c r="J16" s="9">
        <f>C37</f>
        <v>200000</v>
      </c>
      <c r="K16" s="9">
        <f t="shared" ref="K16:L16" si="17">D37</f>
        <v>212400</v>
      </c>
      <c r="L16" s="9">
        <f t="shared" si="17"/>
        <v>12400</v>
      </c>
    </row>
    <row r="17" spans="1:12" x14ac:dyDescent="0.25">
      <c r="A17" s="5" t="s">
        <v>28</v>
      </c>
      <c r="B17" s="5" t="s">
        <v>19</v>
      </c>
      <c r="C17" s="6">
        <v>20000</v>
      </c>
      <c r="D17" s="6">
        <v>19750</v>
      </c>
      <c r="E17" s="7">
        <f t="shared" si="13"/>
        <v>-250</v>
      </c>
      <c r="F17" s="8">
        <f t="shared" si="14"/>
        <v>-1.2500000000000001E-2</v>
      </c>
      <c r="G17" s="5" t="str">
        <f t="shared" si="15"/>
        <v>Under Budget</v>
      </c>
      <c r="I17" s="5" t="s">
        <v>55</v>
      </c>
      <c r="J17" s="9">
        <f>C43</f>
        <v>200000</v>
      </c>
      <c r="K17" s="9">
        <f t="shared" ref="K17:L17" si="18">D43</f>
        <v>211350</v>
      </c>
      <c r="L17" s="9">
        <f t="shared" si="18"/>
        <v>11350</v>
      </c>
    </row>
    <row r="18" spans="1:12" x14ac:dyDescent="0.25">
      <c r="A18" s="5" t="s">
        <v>28</v>
      </c>
      <c r="B18" s="5" t="s">
        <v>20</v>
      </c>
      <c r="C18" s="6">
        <v>20000</v>
      </c>
      <c r="D18" s="6">
        <v>21100</v>
      </c>
      <c r="E18" s="7">
        <f t="shared" si="13"/>
        <v>1100</v>
      </c>
      <c r="F18" s="8">
        <f t="shared" si="14"/>
        <v>5.5E-2</v>
      </c>
      <c r="G18" s="5" t="str">
        <f t="shared" si="15"/>
        <v>Over Budget</v>
      </c>
      <c r="I18" s="5" t="s">
        <v>56</v>
      </c>
      <c r="J18" s="9">
        <f>C49</f>
        <v>200000</v>
      </c>
      <c r="K18" s="9">
        <f t="shared" ref="K18:L18" si="19">D49</f>
        <v>216100</v>
      </c>
      <c r="L18" s="9">
        <f t="shared" si="19"/>
        <v>16100</v>
      </c>
    </row>
    <row r="19" spans="1:12" x14ac:dyDescent="0.25">
      <c r="A19" s="10" t="s">
        <v>33</v>
      </c>
      <c r="B19" s="10"/>
      <c r="C19" s="11">
        <f>SUM(C14:C18)</f>
        <v>200000</v>
      </c>
      <c r="D19" s="11">
        <f>SUM(D14:D18)</f>
        <v>208650</v>
      </c>
      <c r="E19" s="11">
        <f>D19-C19</f>
        <v>8650</v>
      </c>
      <c r="F19" s="12">
        <f t="shared" si="14"/>
        <v>4.3249999999999997E-2</v>
      </c>
      <c r="G19" s="10" t="str">
        <f t="shared" si="15"/>
        <v>Over Budget</v>
      </c>
      <c r="I19" s="5" t="s">
        <v>43</v>
      </c>
      <c r="J19" s="9">
        <f>C55</f>
        <v>200000</v>
      </c>
      <c r="K19" s="9">
        <f t="shared" ref="K19:L19" si="20">D55</f>
        <v>220700</v>
      </c>
      <c r="L19" s="9">
        <f t="shared" si="20"/>
        <v>20700</v>
      </c>
    </row>
    <row r="20" spans="1:12" x14ac:dyDescent="0.25">
      <c r="A20" s="5" t="s">
        <v>29</v>
      </c>
      <c r="B20" s="5" t="s">
        <v>0</v>
      </c>
      <c r="C20" s="6">
        <v>120000</v>
      </c>
      <c r="D20" s="6">
        <v>121400</v>
      </c>
      <c r="E20" s="7">
        <f>D20-C20</f>
        <v>1400</v>
      </c>
      <c r="F20" s="8">
        <f>IFERROR(E20/C20,0)</f>
        <v>1.1666666666666667E-2</v>
      </c>
      <c r="G20" s="5" t="str">
        <f>IF(E20&gt;0,"Over Budget",IF(E20&lt;0,"Under Budget","On Budget"))</f>
        <v>Over Budget</v>
      </c>
      <c r="I20" s="5" t="s">
        <v>44</v>
      </c>
      <c r="J20" s="9">
        <f>C61</f>
        <v>200000</v>
      </c>
      <c r="K20" s="9">
        <f t="shared" ref="K20:L20" si="21">D61</f>
        <v>217050</v>
      </c>
      <c r="L20" s="9">
        <f t="shared" si="21"/>
        <v>17050</v>
      </c>
    </row>
    <row r="21" spans="1:12" x14ac:dyDescent="0.25">
      <c r="A21" s="5" t="s">
        <v>29</v>
      </c>
      <c r="B21" s="5" t="s">
        <v>17</v>
      </c>
      <c r="C21" s="6">
        <v>10000</v>
      </c>
      <c r="D21" s="6">
        <v>11900</v>
      </c>
      <c r="E21" s="7">
        <f t="shared" ref="E21:E24" si="22">D21-C21</f>
        <v>1900</v>
      </c>
      <c r="F21" s="8">
        <f t="shared" ref="F21:F25" si="23">IFERROR(E21/C21,0)</f>
        <v>0.19</v>
      </c>
      <c r="G21" s="5" t="str">
        <f t="shared" ref="G21:G25" si="24">IF(E21&gt;0,"Over Budget",IF(E21&lt;0,"Under Budget","On Budget"))</f>
        <v>Over Budget</v>
      </c>
      <c r="I21" s="5" t="s">
        <v>46</v>
      </c>
      <c r="J21" s="9">
        <f>C67</f>
        <v>200000</v>
      </c>
      <c r="K21" s="9">
        <f t="shared" ref="K21:L21" si="25">D67</f>
        <v>224100</v>
      </c>
      <c r="L21" s="9">
        <f t="shared" si="25"/>
        <v>24100</v>
      </c>
    </row>
    <row r="22" spans="1:12" x14ac:dyDescent="0.25">
      <c r="A22" s="5" t="s">
        <v>29</v>
      </c>
      <c r="B22" s="5" t="s">
        <v>18</v>
      </c>
      <c r="C22" s="6">
        <v>30000</v>
      </c>
      <c r="D22" s="6">
        <v>30350</v>
      </c>
      <c r="E22" s="7">
        <f t="shared" si="22"/>
        <v>350</v>
      </c>
      <c r="F22" s="8">
        <f t="shared" si="23"/>
        <v>1.1666666666666667E-2</v>
      </c>
      <c r="G22" s="5" t="str">
        <f t="shared" si="24"/>
        <v>Over Budget</v>
      </c>
      <c r="I22" s="5" t="s">
        <v>48</v>
      </c>
      <c r="J22" s="9">
        <f>C73</f>
        <v>200000</v>
      </c>
      <c r="K22" s="9">
        <f t="shared" ref="K22:L22" si="26">D73</f>
        <v>228300</v>
      </c>
      <c r="L22" s="9">
        <f t="shared" si="26"/>
        <v>28300</v>
      </c>
    </row>
    <row r="23" spans="1:12" x14ac:dyDescent="0.25">
      <c r="A23" s="5" t="s">
        <v>29</v>
      </c>
      <c r="B23" s="5" t="s">
        <v>19</v>
      </c>
      <c r="C23" s="6">
        <v>20000</v>
      </c>
      <c r="D23" s="6">
        <v>20500</v>
      </c>
      <c r="E23" s="7">
        <f t="shared" si="22"/>
        <v>500</v>
      </c>
      <c r="F23" s="8">
        <f t="shared" si="23"/>
        <v>2.5000000000000001E-2</v>
      </c>
      <c r="G23" s="5" t="str">
        <f t="shared" si="24"/>
        <v>Over Budget</v>
      </c>
    </row>
    <row r="24" spans="1:12" x14ac:dyDescent="0.25">
      <c r="A24" s="5" t="s">
        <v>29</v>
      </c>
      <c r="B24" s="5" t="s">
        <v>20</v>
      </c>
      <c r="C24" s="6">
        <v>20000</v>
      </c>
      <c r="D24" s="6">
        <v>19800</v>
      </c>
      <c r="E24" s="7">
        <f t="shared" si="22"/>
        <v>-200</v>
      </c>
      <c r="F24" s="8">
        <f t="shared" si="23"/>
        <v>-0.01</v>
      </c>
      <c r="G24" s="5" t="str">
        <f t="shared" si="24"/>
        <v>Under Budget</v>
      </c>
    </row>
    <row r="25" spans="1:12" x14ac:dyDescent="0.25">
      <c r="A25" s="10" t="s">
        <v>34</v>
      </c>
      <c r="B25" s="10"/>
      <c r="C25" s="11">
        <f>SUM(C20:C24)</f>
        <v>200000</v>
      </c>
      <c r="D25" s="11">
        <f>SUM(D20:D24)</f>
        <v>203950</v>
      </c>
      <c r="E25" s="11">
        <f>D25-C25</f>
        <v>3950</v>
      </c>
      <c r="F25" s="12">
        <f t="shared" si="23"/>
        <v>1.975E-2</v>
      </c>
      <c r="G25" s="10" t="str">
        <f t="shared" si="24"/>
        <v>Over Budget</v>
      </c>
    </row>
    <row r="26" spans="1:12" x14ac:dyDescent="0.25">
      <c r="A26" s="5" t="s">
        <v>30</v>
      </c>
      <c r="B26" s="5" t="s">
        <v>0</v>
      </c>
      <c r="C26" s="6">
        <v>120000</v>
      </c>
      <c r="D26" s="6">
        <v>122800</v>
      </c>
      <c r="E26" s="7">
        <f>D26-C26</f>
        <v>2800</v>
      </c>
      <c r="F26" s="8">
        <f>IFERROR(E26/C26,0)</f>
        <v>2.3333333333333334E-2</v>
      </c>
      <c r="G26" s="5" t="str">
        <f>IF(E26&gt;0,"Over Budget",IF(E26&lt;0,"Under Budget","On Budget"))</f>
        <v>Over Budget</v>
      </c>
    </row>
    <row r="27" spans="1:12" x14ac:dyDescent="0.25">
      <c r="A27" s="5" t="s">
        <v>30</v>
      </c>
      <c r="B27" s="5" t="s">
        <v>17</v>
      </c>
      <c r="C27" s="6">
        <v>10000</v>
      </c>
      <c r="D27" s="6">
        <v>14200</v>
      </c>
      <c r="E27" s="7">
        <f t="shared" ref="E27:E30" si="27">D27-C27</f>
        <v>4200</v>
      </c>
      <c r="F27" s="8">
        <f t="shared" ref="F27:F31" si="28">IFERROR(E27/C27,0)</f>
        <v>0.42</v>
      </c>
      <c r="G27" s="5" t="str">
        <f t="shared" ref="G27:G31" si="29">IF(E27&gt;0,"Over Budget",IF(E27&lt;0,"Under Budget","On Budget"))</f>
        <v>Over Budget</v>
      </c>
    </row>
    <row r="28" spans="1:12" x14ac:dyDescent="0.25">
      <c r="A28" s="5" t="s">
        <v>30</v>
      </c>
      <c r="B28" s="5" t="s">
        <v>18</v>
      </c>
      <c r="C28" s="6">
        <v>30000</v>
      </c>
      <c r="D28" s="6">
        <v>30700</v>
      </c>
      <c r="E28" s="7">
        <f t="shared" si="27"/>
        <v>700</v>
      </c>
      <c r="F28" s="8">
        <f t="shared" si="28"/>
        <v>2.3333333333333334E-2</v>
      </c>
      <c r="G28" s="5" t="str">
        <f t="shared" si="29"/>
        <v>Over Budget</v>
      </c>
    </row>
    <row r="29" spans="1:12" x14ac:dyDescent="0.25">
      <c r="A29" s="5" t="s">
        <v>30</v>
      </c>
      <c r="B29" s="5" t="s">
        <v>19</v>
      </c>
      <c r="C29" s="6">
        <v>20000</v>
      </c>
      <c r="D29" s="6">
        <v>21200</v>
      </c>
      <c r="E29" s="7">
        <f t="shared" si="27"/>
        <v>1200</v>
      </c>
      <c r="F29" s="8">
        <f t="shared" si="28"/>
        <v>0.06</v>
      </c>
      <c r="G29" s="5" t="str">
        <f t="shared" si="29"/>
        <v>Over Budget</v>
      </c>
    </row>
    <row r="30" spans="1:12" x14ac:dyDescent="0.25">
      <c r="A30" s="5" t="s">
        <v>30</v>
      </c>
      <c r="B30" s="5" t="s">
        <v>20</v>
      </c>
      <c r="C30" s="6">
        <v>20000</v>
      </c>
      <c r="D30" s="6">
        <v>20400</v>
      </c>
      <c r="E30" s="7">
        <f t="shared" si="27"/>
        <v>400</v>
      </c>
      <c r="F30" s="8">
        <f t="shared" si="28"/>
        <v>0.02</v>
      </c>
      <c r="G30" s="5" t="str">
        <f t="shared" si="29"/>
        <v>Over Budget</v>
      </c>
    </row>
    <row r="31" spans="1:12" x14ac:dyDescent="0.25">
      <c r="A31" s="10" t="s">
        <v>35</v>
      </c>
      <c r="B31" s="10"/>
      <c r="C31" s="11">
        <f>SUM(C26:C30)</f>
        <v>200000</v>
      </c>
      <c r="D31" s="11">
        <f>SUM(D26:D30)</f>
        <v>209300</v>
      </c>
      <c r="E31" s="11">
        <f>D31-C31</f>
        <v>9300</v>
      </c>
      <c r="F31" s="12">
        <f t="shared" si="28"/>
        <v>4.65E-2</v>
      </c>
      <c r="G31" s="10" t="str">
        <f t="shared" si="29"/>
        <v>Over Budget</v>
      </c>
    </row>
    <row r="32" spans="1:12" x14ac:dyDescent="0.25">
      <c r="A32" s="5" t="s">
        <v>40</v>
      </c>
      <c r="B32" s="5" t="s">
        <v>0</v>
      </c>
      <c r="C32" s="6">
        <v>120000</v>
      </c>
      <c r="D32" s="6">
        <v>124500</v>
      </c>
      <c r="E32" s="7">
        <f>D32-C32</f>
        <v>4500</v>
      </c>
      <c r="F32" s="8">
        <f>IFERROR(E32/C32,0)</f>
        <v>3.7499999999999999E-2</v>
      </c>
      <c r="G32" s="5" t="str">
        <f>IF(E32&gt;0,"Over Budget",IF(E32&lt;0,"Under Budget","On Budget"))</f>
        <v>Over Budget</v>
      </c>
    </row>
    <row r="33" spans="1:7" x14ac:dyDescent="0.25">
      <c r="A33" s="5" t="str">
        <f>$A$32</f>
        <v>June</v>
      </c>
      <c r="B33" s="5" t="s">
        <v>17</v>
      </c>
      <c r="C33" s="6">
        <v>10000</v>
      </c>
      <c r="D33" s="6">
        <v>15800</v>
      </c>
      <c r="E33" s="7">
        <f t="shared" ref="E33:E36" si="30">D33-C33</f>
        <v>5800</v>
      </c>
      <c r="F33" s="8">
        <f t="shared" ref="F33:F37" si="31">IFERROR(E33/C33,0)</f>
        <v>0.57999999999999996</v>
      </c>
      <c r="G33" s="5" t="str">
        <f t="shared" ref="G33:G37" si="32">IF(E33&gt;0,"Over Budget",IF(E33&lt;0,"Under Budget","On Budget"))</f>
        <v>Over Budget</v>
      </c>
    </row>
    <row r="34" spans="1:7" x14ac:dyDescent="0.25">
      <c r="A34" s="5" t="str">
        <f t="shared" ref="A34:A36" si="33">$A$32</f>
        <v>June</v>
      </c>
      <c r="B34" s="5" t="s">
        <v>18</v>
      </c>
      <c r="C34" s="6">
        <v>30000</v>
      </c>
      <c r="D34" s="6">
        <v>31200</v>
      </c>
      <c r="E34" s="7">
        <f t="shared" si="30"/>
        <v>1200</v>
      </c>
      <c r="F34" s="8">
        <f t="shared" si="31"/>
        <v>0.04</v>
      </c>
      <c r="G34" s="5" t="str">
        <f t="shared" si="32"/>
        <v>Over Budget</v>
      </c>
    </row>
    <row r="35" spans="1:7" x14ac:dyDescent="0.25">
      <c r="A35" s="5" t="str">
        <f t="shared" si="33"/>
        <v>June</v>
      </c>
      <c r="B35" s="5" t="s">
        <v>19</v>
      </c>
      <c r="C35" s="6">
        <v>20000</v>
      </c>
      <c r="D35" s="6">
        <v>19800</v>
      </c>
      <c r="E35" s="7">
        <f t="shared" si="30"/>
        <v>-200</v>
      </c>
      <c r="F35" s="8">
        <f t="shared" si="31"/>
        <v>-0.01</v>
      </c>
      <c r="G35" s="5" t="str">
        <f t="shared" si="32"/>
        <v>Under Budget</v>
      </c>
    </row>
    <row r="36" spans="1:7" x14ac:dyDescent="0.25">
      <c r="A36" s="5" t="str">
        <f t="shared" si="33"/>
        <v>June</v>
      </c>
      <c r="B36" s="5" t="s">
        <v>20</v>
      </c>
      <c r="C36" s="6">
        <v>20000</v>
      </c>
      <c r="D36" s="6">
        <v>21100</v>
      </c>
      <c r="E36" s="7">
        <f t="shared" si="30"/>
        <v>1100</v>
      </c>
      <c r="F36" s="8">
        <f t="shared" si="31"/>
        <v>5.5E-2</v>
      </c>
      <c r="G36" s="5" t="str">
        <f t="shared" si="32"/>
        <v>Over Budget</v>
      </c>
    </row>
    <row r="37" spans="1:7" x14ac:dyDescent="0.25">
      <c r="A37" s="10" t="s">
        <v>36</v>
      </c>
      <c r="B37" s="10"/>
      <c r="C37" s="11">
        <f>SUM(C32:C36)</f>
        <v>200000</v>
      </c>
      <c r="D37" s="11">
        <f>SUM(D32:D36)</f>
        <v>212400</v>
      </c>
      <c r="E37" s="11">
        <f>D37-C37</f>
        <v>12400</v>
      </c>
      <c r="F37" s="12">
        <f t="shared" si="31"/>
        <v>6.2E-2</v>
      </c>
      <c r="G37" s="10" t="str">
        <f t="shared" si="32"/>
        <v>Over Budget</v>
      </c>
    </row>
    <row r="38" spans="1:7" x14ac:dyDescent="0.25">
      <c r="A38" s="5" t="s">
        <v>41</v>
      </c>
      <c r="B38" s="5" t="s">
        <v>0</v>
      </c>
      <c r="C38" s="6">
        <v>120000</v>
      </c>
      <c r="D38" s="6">
        <v>123700</v>
      </c>
      <c r="E38" s="7">
        <f>D38-C38</f>
        <v>3700</v>
      </c>
      <c r="F38" s="8">
        <f>IFERROR(E38/C38,0)</f>
        <v>3.0833333333333334E-2</v>
      </c>
      <c r="G38" s="5" t="str">
        <f>IF(E38&gt;0,"Over Budget",IF(E38&lt;0,"Under Budget","On Budget"))</f>
        <v>Over Budget</v>
      </c>
    </row>
    <row r="39" spans="1:7" x14ac:dyDescent="0.25">
      <c r="A39" s="5" t="str">
        <f>$A$38</f>
        <v xml:space="preserve">July </v>
      </c>
      <c r="B39" s="5" t="s">
        <v>17</v>
      </c>
      <c r="C39" s="6">
        <v>10000</v>
      </c>
      <c r="D39" s="6">
        <v>13900</v>
      </c>
      <c r="E39" s="7">
        <f t="shared" ref="E39:E42" si="34">D39-C39</f>
        <v>3900</v>
      </c>
      <c r="F39" s="8">
        <f t="shared" ref="F39:F43" si="35">IFERROR(E39/C39,0)</f>
        <v>0.39</v>
      </c>
      <c r="G39" s="5" t="str">
        <f t="shared" ref="G39:G43" si="36">IF(E39&gt;0,"Over Budget",IF(E39&lt;0,"Under Budget","On Budget"))</f>
        <v>Over Budget</v>
      </c>
    </row>
    <row r="40" spans="1:7" x14ac:dyDescent="0.25">
      <c r="A40" s="5" t="str">
        <f t="shared" ref="A40:A42" si="37">$A$38</f>
        <v xml:space="preserve">July </v>
      </c>
      <c r="B40" s="5" t="s">
        <v>18</v>
      </c>
      <c r="C40" s="6">
        <v>30000</v>
      </c>
      <c r="D40" s="6">
        <v>30950</v>
      </c>
      <c r="E40" s="7">
        <f t="shared" si="34"/>
        <v>950</v>
      </c>
      <c r="F40" s="8">
        <f t="shared" si="35"/>
        <v>3.1666666666666669E-2</v>
      </c>
      <c r="G40" s="5" t="str">
        <f t="shared" si="36"/>
        <v>Over Budget</v>
      </c>
    </row>
    <row r="41" spans="1:7" x14ac:dyDescent="0.25">
      <c r="A41" s="5" t="str">
        <f t="shared" si="37"/>
        <v xml:space="preserve">July </v>
      </c>
      <c r="B41" s="5" t="s">
        <v>19</v>
      </c>
      <c r="C41" s="6">
        <v>20000</v>
      </c>
      <c r="D41" s="6">
        <v>22100</v>
      </c>
      <c r="E41" s="7">
        <f t="shared" si="34"/>
        <v>2100</v>
      </c>
      <c r="F41" s="8">
        <f t="shared" si="35"/>
        <v>0.105</v>
      </c>
      <c r="G41" s="5" t="str">
        <f t="shared" si="36"/>
        <v>Over Budget</v>
      </c>
    </row>
    <row r="42" spans="1:7" x14ac:dyDescent="0.25">
      <c r="A42" s="5" t="str">
        <f t="shared" si="37"/>
        <v xml:space="preserve">July </v>
      </c>
      <c r="B42" s="5" t="s">
        <v>20</v>
      </c>
      <c r="C42" s="6">
        <v>20000</v>
      </c>
      <c r="D42" s="6">
        <v>20700</v>
      </c>
      <c r="E42" s="7">
        <f t="shared" si="34"/>
        <v>700</v>
      </c>
      <c r="F42" s="8">
        <f t="shared" si="35"/>
        <v>3.5000000000000003E-2</v>
      </c>
      <c r="G42" s="5" t="str">
        <f t="shared" si="36"/>
        <v>Over Budget</v>
      </c>
    </row>
    <row r="43" spans="1:7" x14ac:dyDescent="0.25">
      <c r="A43" s="10" t="s">
        <v>37</v>
      </c>
      <c r="B43" s="10"/>
      <c r="C43" s="11">
        <f>SUM(C38:C42)</f>
        <v>200000</v>
      </c>
      <c r="D43" s="11">
        <f>SUM(D38:D42)</f>
        <v>211350</v>
      </c>
      <c r="E43" s="11">
        <f>D43-C43</f>
        <v>11350</v>
      </c>
      <c r="F43" s="12">
        <f t="shared" si="35"/>
        <v>5.6750000000000002E-2</v>
      </c>
      <c r="G43" s="10" t="str">
        <f t="shared" si="36"/>
        <v>Over Budget</v>
      </c>
    </row>
    <row r="44" spans="1:7" x14ac:dyDescent="0.25">
      <c r="A44" s="5" t="s">
        <v>42</v>
      </c>
      <c r="B44" s="5" t="s">
        <v>0</v>
      </c>
      <c r="C44" s="6">
        <v>120000</v>
      </c>
      <c r="D44" s="6">
        <v>125200</v>
      </c>
      <c r="E44" s="7">
        <f>D44-C44</f>
        <v>5200</v>
      </c>
      <c r="F44" s="8">
        <f>IFERROR(E44/C44,0)</f>
        <v>4.3333333333333335E-2</v>
      </c>
      <c r="G44" s="5" t="str">
        <f>IF(E44&gt;0,"Over Budget",IF(E44&lt;0,"Under Budget","On Budget"))</f>
        <v>Over Budget</v>
      </c>
    </row>
    <row r="45" spans="1:7" x14ac:dyDescent="0.25">
      <c r="A45" s="5" t="str">
        <f>$A$44</f>
        <v xml:space="preserve">August </v>
      </c>
      <c r="B45" s="5" t="s">
        <v>17</v>
      </c>
      <c r="C45" s="6">
        <v>10000</v>
      </c>
      <c r="D45" s="6">
        <v>16700</v>
      </c>
      <c r="E45" s="7">
        <f t="shared" ref="E45:E48" si="38">D45-C45</f>
        <v>6700</v>
      </c>
      <c r="F45" s="8">
        <f t="shared" ref="F45:F49" si="39">IFERROR(E45/C45,0)</f>
        <v>0.67</v>
      </c>
      <c r="G45" s="5" t="str">
        <f t="shared" ref="G45:G49" si="40">IF(E45&gt;0,"Over Budget",IF(E45&lt;0,"Under Budget","On Budget"))</f>
        <v>Over Budget</v>
      </c>
    </row>
    <row r="46" spans="1:7" x14ac:dyDescent="0.25">
      <c r="A46" s="5" t="str">
        <f t="shared" ref="A46:A48" si="41">$A$44</f>
        <v xml:space="preserve">August </v>
      </c>
      <c r="B46" s="5" t="s">
        <v>18</v>
      </c>
      <c r="C46" s="6">
        <v>30000</v>
      </c>
      <c r="D46" s="6">
        <v>31500</v>
      </c>
      <c r="E46" s="7">
        <f t="shared" si="38"/>
        <v>1500</v>
      </c>
      <c r="F46" s="8">
        <f t="shared" si="39"/>
        <v>0.05</v>
      </c>
      <c r="G46" s="5" t="str">
        <f t="shared" si="40"/>
        <v>Over Budget</v>
      </c>
    </row>
    <row r="47" spans="1:7" x14ac:dyDescent="0.25">
      <c r="A47" s="5" t="str">
        <f t="shared" si="41"/>
        <v xml:space="preserve">August </v>
      </c>
      <c r="B47" s="5" t="s">
        <v>19</v>
      </c>
      <c r="C47" s="6">
        <v>20000</v>
      </c>
      <c r="D47" s="6">
        <v>21400</v>
      </c>
      <c r="E47" s="7">
        <f t="shared" si="38"/>
        <v>1400</v>
      </c>
      <c r="F47" s="8">
        <f t="shared" si="39"/>
        <v>7.0000000000000007E-2</v>
      </c>
      <c r="G47" s="5" t="str">
        <f t="shared" si="40"/>
        <v>Over Budget</v>
      </c>
    </row>
    <row r="48" spans="1:7" x14ac:dyDescent="0.25">
      <c r="A48" s="5" t="str">
        <f t="shared" si="41"/>
        <v xml:space="preserve">August </v>
      </c>
      <c r="B48" s="5" t="s">
        <v>20</v>
      </c>
      <c r="C48" s="6">
        <v>20000</v>
      </c>
      <c r="D48" s="6">
        <v>21300</v>
      </c>
      <c r="E48" s="7">
        <f t="shared" si="38"/>
        <v>1300</v>
      </c>
      <c r="F48" s="8">
        <f t="shared" si="39"/>
        <v>6.5000000000000002E-2</v>
      </c>
      <c r="G48" s="5" t="str">
        <f t="shared" si="40"/>
        <v>Over Budget</v>
      </c>
    </row>
    <row r="49" spans="1:7" x14ac:dyDescent="0.25">
      <c r="A49" s="10" t="s">
        <v>38</v>
      </c>
      <c r="B49" s="10"/>
      <c r="C49" s="11">
        <f>SUM(C44:C48)</f>
        <v>200000</v>
      </c>
      <c r="D49" s="11">
        <f>SUM(D44:D48)</f>
        <v>216100</v>
      </c>
      <c r="E49" s="11">
        <f>D49-C49</f>
        <v>16100</v>
      </c>
      <c r="F49" s="12">
        <f t="shared" si="39"/>
        <v>8.0500000000000002E-2</v>
      </c>
      <c r="G49" s="10" t="str">
        <f t="shared" si="40"/>
        <v>Over Budget</v>
      </c>
    </row>
    <row r="50" spans="1:7" x14ac:dyDescent="0.25">
      <c r="A50" s="5" t="s">
        <v>43</v>
      </c>
      <c r="B50" s="5" t="s">
        <v>0</v>
      </c>
      <c r="C50" s="6">
        <v>120000</v>
      </c>
      <c r="D50" s="6">
        <v>126400</v>
      </c>
      <c r="E50" s="7">
        <f>D50-C50</f>
        <v>6400</v>
      </c>
      <c r="F50" s="8">
        <f>IFERROR(E50/C50,0)</f>
        <v>5.3333333333333337E-2</v>
      </c>
      <c r="G50" s="5" t="str">
        <f>IF(E50&gt;0,"Over Budget",IF(E50&lt;0,"Under Budget","On Budget"))</f>
        <v>Over Budget</v>
      </c>
    </row>
    <row r="51" spans="1:7" x14ac:dyDescent="0.25">
      <c r="A51" s="5" t="str">
        <f>$A$50</f>
        <v>September</v>
      </c>
      <c r="B51" s="5" t="s">
        <v>17</v>
      </c>
      <c r="C51" s="6">
        <v>10000</v>
      </c>
      <c r="D51" s="6">
        <v>18100</v>
      </c>
      <c r="E51" s="7">
        <f t="shared" ref="E51:E54" si="42">D51-C51</f>
        <v>8100</v>
      </c>
      <c r="F51" s="8">
        <f t="shared" ref="F51:F55" si="43">IFERROR(E51/C51,0)</f>
        <v>0.81</v>
      </c>
      <c r="G51" s="5" t="str">
        <f t="shared" ref="G51:G55" si="44">IF(E51&gt;0,"Over Budget",IF(E51&lt;0,"Under Budget","On Budget"))</f>
        <v>Over Budget</v>
      </c>
    </row>
    <row r="52" spans="1:7" x14ac:dyDescent="0.25">
      <c r="A52" s="5" t="str">
        <f t="shared" ref="A52:A54" si="45">$A$50</f>
        <v>September</v>
      </c>
      <c r="B52" s="5" t="s">
        <v>18</v>
      </c>
      <c r="C52" s="6">
        <v>30000</v>
      </c>
      <c r="D52" s="6">
        <v>31800</v>
      </c>
      <c r="E52" s="7">
        <f t="shared" si="42"/>
        <v>1800</v>
      </c>
      <c r="F52" s="8">
        <f t="shared" si="43"/>
        <v>0.06</v>
      </c>
      <c r="G52" s="5" t="str">
        <f t="shared" si="44"/>
        <v>Over Budget</v>
      </c>
    </row>
    <row r="53" spans="1:7" x14ac:dyDescent="0.25">
      <c r="A53" s="5" t="str">
        <f t="shared" si="45"/>
        <v>September</v>
      </c>
      <c r="B53" s="5" t="s">
        <v>19</v>
      </c>
      <c r="C53" s="6">
        <v>20000</v>
      </c>
      <c r="D53" s="6">
        <v>22500</v>
      </c>
      <c r="E53" s="7">
        <f t="shared" si="42"/>
        <v>2500</v>
      </c>
      <c r="F53" s="8">
        <f t="shared" si="43"/>
        <v>0.125</v>
      </c>
      <c r="G53" s="5" t="str">
        <f t="shared" si="44"/>
        <v>Over Budget</v>
      </c>
    </row>
    <row r="54" spans="1:7" x14ac:dyDescent="0.25">
      <c r="A54" s="5" t="str">
        <f t="shared" si="45"/>
        <v>September</v>
      </c>
      <c r="B54" s="5" t="s">
        <v>20</v>
      </c>
      <c r="C54" s="6">
        <v>20000</v>
      </c>
      <c r="D54" s="6">
        <v>21900</v>
      </c>
      <c r="E54" s="7">
        <f t="shared" si="42"/>
        <v>1900</v>
      </c>
      <c r="F54" s="8">
        <f t="shared" si="43"/>
        <v>9.5000000000000001E-2</v>
      </c>
      <c r="G54" s="5" t="str">
        <f t="shared" si="44"/>
        <v>Over Budget</v>
      </c>
    </row>
    <row r="55" spans="1:7" x14ac:dyDescent="0.25">
      <c r="A55" s="10" t="s">
        <v>39</v>
      </c>
      <c r="B55" s="10"/>
      <c r="C55" s="11">
        <f>SUM(C50:C54)</f>
        <v>200000</v>
      </c>
      <c r="D55" s="11">
        <f>SUM(D50:D54)</f>
        <v>220700</v>
      </c>
      <c r="E55" s="11">
        <f>D55-C55</f>
        <v>20700</v>
      </c>
      <c r="F55" s="12">
        <f t="shared" si="43"/>
        <v>0.10349999999999999</v>
      </c>
      <c r="G55" s="10" t="str">
        <f t="shared" si="44"/>
        <v>Over Budget</v>
      </c>
    </row>
    <row r="56" spans="1:7" x14ac:dyDescent="0.25">
      <c r="A56" s="5" t="s">
        <v>44</v>
      </c>
      <c r="B56" s="5" t="s">
        <v>0</v>
      </c>
      <c r="C56" s="6">
        <v>120000</v>
      </c>
      <c r="D56" s="6">
        <v>125800</v>
      </c>
      <c r="E56" s="7">
        <f>D56-C56</f>
        <v>5800</v>
      </c>
      <c r="F56" s="8">
        <f>IFERROR(E56/C56,0)</f>
        <v>4.8333333333333332E-2</v>
      </c>
      <c r="G56" s="5" t="str">
        <f>IF(E56&gt;0,"Over Budget",IF(E56&lt;0,"Under Budget","On Budget"))</f>
        <v>Over Budget</v>
      </c>
    </row>
    <row r="57" spans="1:7" x14ac:dyDescent="0.25">
      <c r="A57" s="5" t="str">
        <f>$A$56</f>
        <v>October</v>
      </c>
      <c r="B57" s="5" t="s">
        <v>17</v>
      </c>
      <c r="C57" s="6">
        <v>10000</v>
      </c>
      <c r="D57" s="6">
        <v>17400</v>
      </c>
      <c r="E57" s="7">
        <f t="shared" ref="E57:E60" si="46">D57-C57</f>
        <v>7400</v>
      </c>
      <c r="F57" s="8">
        <f t="shared" ref="F57:F61" si="47">IFERROR(E57/C57,0)</f>
        <v>0.74</v>
      </c>
      <c r="G57" s="5" t="str">
        <f t="shared" ref="G57:G61" si="48">IF(E57&gt;0,"Over Budget",IF(E57&lt;0,"Under Budget","On Budget"))</f>
        <v>Over Budget</v>
      </c>
    </row>
    <row r="58" spans="1:7" x14ac:dyDescent="0.25">
      <c r="A58" s="5" t="str">
        <f t="shared" ref="A58:A60" si="49">$A$56</f>
        <v>October</v>
      </c>
      <c r="B58" s="5" t="s">
        <v>18</v>
      </c>
      <c r="C58" s="6">
        <v>30000</v>
      </c>
      <c r="D58" s="6">
        <v>31450</v>
      </c>
      <c r="E58" s="7">
        <f t="shared" si="46"/>
        <v>1450</v>
      </c>
      <c r="F58" s="8">
        <f t="shared" si="47"/>
        <v>4.8333333333333332E-2</v>
      </c>
      <c r="G58" s="5" t="str">
        <f t="shared" si="48"/>
        <v>Over Budget</v>
      </c>
    </row>
    <row r="59" spans="1:7" x14ac:dyDescent="0.25">
      <c r="A59" s="5" t="str">
        <f t="shared" si="49"/>
        <v>October</v>
      </c>
      <c r="B59" s="5" t="s">
        <v>19</v>
      </c>
      <c r="C59" s="6">
        <v>20000</v>
      </c>
      <c r="D59" s="6">
        <v>20800</v>
      </c>
      <c r="E59" s="7">
        <f t="shared" si="46"/>
        <v>800</v>
      </c>
      <c r="F59" s="8">
        <f t="shared" si="47"/>
        <v>0.04</v>
      </c>
      <c r="G59" s="5" t="str">
        <f t="shared" si="48"/>
        <v>Over Budget</v>
      </c>
    </row>
    <row r="60" spans="1:7" x14ac:dyDescent="0.25">
      <c r="A60" s="5" t="str">
        <f t="shared" si="49"/>
        <v>October</v>
      </c>
      <c r="B60" s="5" t="s">
        <v>20</v>
      </c>
      <c r="C60" s="6">
        <v>20000</v>
      </c>
      <c r="D60" s="6">
        <v>21600</v>
      </c>
      <c r="E60" s="7">
        <f t="shared" si="46"/>
        <v>1600</v>
      </c>
      <c r="F60" s="8">
        <f t="shared" si="47"/>
        <v>0.08</v>
      </c>
      <c r="G60" s="5" t="str">
        <f t="shared" si="48"/>
        <v>Over Budget</v>
      </c>
    </row>
    <row r="61" spans="1:7" x14ac:dyDescent="0.25">
      <c r="A61" s="10" t="s">
        <v>45</v>
      </c>
      <c r="B61" s="10"/>
      <c r="C61" s="11">
        <f>SUM(C56:C60)</f>
        <v>200000</v>
      </c>
      <c r="D61" s="11">
        <f>SUM(D56:D60)</f>
        <v>217050</v>
      </c>
      <c r="E61" s="11">
        <f>D61-C61</f>
        <v>17050</v>
      </c>
      <c r="F61" s="12">
        <f t="shared" si="47"/>
        <v>8.5250000000000006E-2</v>
      </c>
      <c r="G61" s="10" t="str">
        <f t="shared" si="48"/>
        <v>Over Budget</v>
      </c>
    </row>
    <row r="62" spans="1:7" x14ac:dyDescent="0.25">
      <c r="A62" s="5" t="s">
        <v>46</v>
      </c>
      <c r="B62" s="5" t="s">
        <v>0</v>
      </c>
      <c r="C62" s="6">
        <v>120000</v>
      </c>
      <c r="D62" s="6">
        <v>127200</v>
      </c>
      <c r="E62" s="7">
        <f>D62-C62</f>
        <v>7200</v>
      </c>
      <c r="F62" s="8">
        <f>IFERROR(E62/C62,0)</f>
        <v>0.06</v>
      </c>
      <c r="G62" s="5" t="str">
        <f>IF(E62&gt;0,"Over Budget",IF(E62&lt;0,"Under Budget","On Budget"))</f>
        <v>Over Budget</v>
      </c>
    </row>
    <row r="63" spans="1:7" x14ac:dyDescent="0.25">
      <c r="A63" s="5" t="str">
        <f>$A$62</f>
        <v>November</v>
      </c>
      <c r="B63" s="5" t="s">
        <v>17</v>
      </c>
      <c r="C63" s="6">
        <v>10000</v>
      </c>
      <c r="D63" s="6">
        <v>19200</v>
      </c>
      <c r="E63" s="7">
        <f t="shared" ref="E63:E66" si="50">D63-C63</f>
        <v>9200</v>
      </c>
      <c r="F63" s="8">
        <f t="shared" ref="F63:F67" si="51">IFERROR(E63/C63,0)</f>
        <v>0.92</v>
      </c>
      <c r="G63" s="5" t="str">
        <f t="shared" ref="G63:G67" si="52">IF(E63&gt;0,"Over Budget",IF(E63&lt;0,"Under Budget","On Budget"))</f>
        <v>Over Budget</v>
      </c>
    </row>
    <row r="64" spans="1:7" x14ac:dyDescent="0.25">
      <c r="A64" s="5" t="str">
        <f t="shared" ref="A64:A66" si="53">$A$62</f>
        <v>November</v>
      </c>
      <c r="B64" s="5" t="s">
        <v>18</v>
      </c>
      <c r="C64" s="6">
        <v>30000</v>
      </c>
      <c r="D64" s="6">
        <v>32100</v>
      </c>
      <c r="E64" s="7">
        <f t="shared" si="50"/>
        <v>2100</v>
      </c>
      <c r="F64" s="8">
        <f t="shared" si="51"/>
        <v>7.0000000000000007E-2</v>
      </c>
      <c r="G64" s="5" t="str">
        <f t="shared" si="52"/>
        <v>Over Budget</v>
      </c>
    </row>
    <row r="65" spans="1:7" x14ac:dyDescent="0.25">
      <c r="A65" s="5" t="str">
        <f t="shared" si="53"/>
        <v>November</v>
      </c>
      <c r="B65" s="5" t="s">
        <v>19</v>
      </c>
      <c r="C65" s="6">
        <v>20000</v>
      </c>
      <c r="D65" s="6">
        <v>23400</v>
      </c>
      <c r="E65" s="7">
        <f t="shared" si="50"/>
        <v>3400</v>
      </c>
      <c r="F65" s="8">
        <f t="shared" si="51"/>
        <v>0.17</v>
      </c>
      <c r="G65" s="5" t="str">
        <f t="shared" si="52"/>
        <v>Over Budget</v>
      </c>
    </row>
    <row r="66" spans="1:7" x14ac:dyDescent="0.25">
      <c r="A66" s="5" t="str">
        <f t="shared" si="53"/>
        <v>November</v>
      </c>
      <c r="B66" s="5" t="s">
        <v>20</v>
      </c>
      <c r="C66" s="6">
        <v>20000</v>
      </c>
      <c r="D66" s="6">
        <v>22200</v>
      </c>
      <c r="E66" s="7">
        <f t="shared" si="50"/>
        <v>2200</v>
      </c>
      <c r="F66" s="8">
        <f t="shared" si="51"/>
        <v>0.11</v>
      </c>
      <c r="G66" s="5" t="str">
        <f t="shared" si="52"/>
        <v>Over Budget</v>
      </c>
    </row>
    <row r="67" spans="1:7" x14ac:dyDescent="0.25">
      <c r="A67" s="10" t="s">
        <v>47</v>
      </c>
      <c r="B67" s="10"/>
      <c r="C67" s="11">
        <f>SUM(C62:C66)</f>
        <v>200000</v>
      </c>
      <c r="D67" s="11">
        <f>SUM(D62:D66)</f>
        <v>224100</v>
      </c>
      <c r="E67" s="11">
        <f>D67-C67</f>
        <v>24100</v>
      </c>
      <c r="F67" s="12">
        <f t="shared" si="51"/>
        <v>0.1205</v>
      </c>
      <c r="G67" s="10" t="str">
        <f t="shared" si="52"/>
        <v>Over Budget</v>
      </c>
    </row>
    <row r="68" spans="1:7" x14ac:dyDescent="0.25">
      <c r="A68" s="5" t="s">
        <v>48</v>
      </c>
      <c r="B68" s="5" t="s">
        <v>0</v>
      </c>
      <c r="C68" s="6">
        <v>120000</v>
      </c>
      <c r="D68" s="6">
        <v>128500</v>
      </c>
      <c r="E68" s="7">
        <f>D68-C68</f>
        <v>8500</v>
      </c>
      <c r="F68" s="8">
        <f>IFERROR(E68/C68,0)</f>
        <v>7.0833333333333331E-2</v>
      </c>
      <c r="G68" s="5" t="str">
        <f>IF(E68&gt;0,"Over Budget",IF(E68&lt;0,"Under Budget","On Budget"))</f>
        <v>Over Budget</v>
      </c>
    </row>
    <row r="69" spans="1:7" x14ac:dyDescent="0.25">
      <c r="A69" s="5" t="str">
        <f>$A$68</f>
        <v>December</v>
      </c>
      <c r="B69" s="5" t="s">
        <v>17</v>
      </c>
      <c r="C69" s="6">
        <v>10000</v>
      </c>
      <c r="D69" s="6">
        <v>20500</v>
      </c>
      <c r="E69" s="7">
        <f t="shared" ref="E69:E72" si="54">D69-C69</f>
        <v>10500</v>
      </c>
      <c r="F69" s="8">
        <f t="shared" ref="F69:F73" si="55">IFERROR(E69/C69,0)</f>
        <v>1.05</v>
      </c>
      <c r="G69" s="5" t="str">
        <f t="shared" ref="G69:G73" si="56">IF(E69&gt;0,"Over Budget",IF(E69&lt;0,"Under Budget","On Budget"))</f>
        <v>Over Budget</v>
      </c>
    </row>
    <row r="70" spans="1:7" x14ac:dyDescent="0.25">
      <c r="A70" s="5" t="str">
        <f t="shared" ref="A70:A72" si="57">$A$68</f>
        <v>December</v>
      </c>
      <c r="B70" s="5" t="s">
        <v>18</v>
      </c>
      <c r="C70" s="6">
        <v>30000</v>
      </c>
      <c r="D70" s="6">
        <v>32400</v>
      </c>
      <c r="E70" s="7">
        <f t="shared" si="54"/>
        <v>2400</v>
      </c>
      <c r="F70" s="8">
        <f t="shared" si="55"/>
        <v>0.08</v>
      </c>
      <c r="G70" s="5" t="str">
        <f t="shared" si="56"/>
        <v>Over Budget</v>
      </c>
    </row>
    <row r="71" spans="1:7" x14ac:dyDescent="0.25">
      <c r="A71" s="5" t="str">
        <f t="shared" si="57"/>
        <v>December</v>
      </c>
      <c r="B71" s="5" t="s">
        <v>19</v>
      </c>
      <c r="C71" s="6">
        <v>20000</v>
      </c>
      <c r="D71" s="6">
        <v>24100</v>
      </c>
      <c r="E71" s="7">
        <f t="shared" si="54"/>
        <v>4100</v>
      </c>
      <c r="F71" s="8">
        <f t="shared" si="55"/>
        <v>0.20499999999999999</v>
      </c>
      <c r="G71" s="5" t="str">
        <f t="shared" si="56"/>
        <v>Over Budget</v>
      </c>
    </row>
    <row r="72" spans="1:7" x14ac:dyDescent="0.25">
      <c r="A72" s="5" t="str">
        <f t="shared" si="57"/>
        <v>December</v>
      </c>
      <c r="B72" s="5" t="s">
        <v>20</v>
      </c>
      <c r="C72" s="6">
        <v>20000</v>
      </c>
      <c r="D72" s="6">
        <v>22800</v>
      </c>
      <c r="E72" s="7">
        <f t="shared" si="54"/>
        <v>2800</v>
      </c>
      <c r="F72" s="8">
        <f t="shared" si="55"/>
        <v>0.14000000000000001</v>
      </c>
      <c r="G72" s="5" t="str">
        <f t="shared" si="56"/>
        <v>Over Budget</v>
      </c>
    </row>
    <row r="73" spans="1:7" x14ac:dyDescent="0.25">
      <c r="A73" s="10" t="s">
        <v>49</v>
      </c>
      <c r="B73" s="10"/>
      <c r="C73" s="11">
        <f>SUM(C68:C72)</f>
        <v>200000</v>
      </c>
      <c r="D73" s="11">
        <f>SUM(D68:D72)</f>
        <v>228300</v>
      </c>
      <c r="E73" s="11">
        <f>D73-C73</f>
        <v>28300</v>
      </c>
      <c r="F73" s="12">
        <f t="shared" si="55"/>
        <v>0.14149999999999999</v>
      </c>
      <c r="G73" s="10" t="str">
        <f t="shared" si="56"/>
        <v>Over Budget</v>
      </c>
    </row>
  </sheetData>
  <sortState xmlns:xlrd2="http://schemas.microsoft.com/office/spreadsheetml/2017/richdata2" ref="I2:M6">
    <sortCondition descending="1" ref="L2:L6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B643-7FC8-F245-871D-61B4ED779FAB}">
  <dimension ref="A1:N15"/>
  <sheetViews>
    <sheetView topLeftCell="E1" zoomScale="137" zoomScaleNormal="137" workbookViewId="0">
      <selection activeCell="G2" sqref="G2"/>
    </sheetView>
  </sheetViews>
  <sheetFormatPr baseColWidth="10" defaultRowHeight="19" x14ac:dyDescent="0.25"/>
  <cols>
    <col min="1" max="1" width="23.28515625" bestFit="1" customWidth="1"/>
    <col min="2" max="2" width="15.85546875" bestFit="1" customWidth="1"/>
    <col min="3" max="3" width="14.42578125" bestFit="1" customWidth="1"/>
    <col min="4" max="4" width="17.7109375" bestFit="1" customWidth="1"/>
    <col min="5" max="5" width="22.5703125" bestFit="1" customWidth="1"/>
    <col min="7" max="7" width="23.7109375" bestFit="1" customWidth="1"/>
    <col min="8" max="8" width="12.42578125" bestFit="1" customWidth="1"/>
    <col min="9" max="9" width="13.5703125" bestFit="1" customWidth="1"/>
    <col min="10" max="10" width="14.140625" bestFit="1" customWidth="1"/>
    <col min="11" max="11" width="11.28515625" bestFit="1" customWidth="1"/>
    <col min="12" max="12" width="21.85546875" bestFit="1" customWidth="1"/>
    <col min="13" max="13" width="24.28515625" bestFit="1" customWidth="1"/>
    <col min="14" max="14" width="17.28515625" bestFit="1" customWidth="1"/>
  </cols>
  <sheetData>
    <row r="1" spans="1:14" x14ac:dyDescent="0.25">
      <c r="A1" s="20" t="s">
        <v>59</v>
      </c>
      <c r="B1" s="20"/>
      <c r="G1" s="10" t="s">
        <v>65</v>
      </c>
      <c r="H1" s="10" t="s">
        <v>66</v>
      </c>
      <c r="I1" s="10" t="s">
        <v>99</v>
      </c>
      <c r="J1" s="10" t="s">
        <v>67</v>
      </c>
      <c r="K1" s="10" t="s">
        <v>68</v>
      </c>
      <c r="L1" s="10" t="s">
        <v>69</v>
      </c>
      <c r="M1" s="10" t="s">
        <v>74</v>
      </c>
      <c r="N1" s="10" t="s">
        <v>75</v>
      </c>
    </row>
    <row r="2" spans="1:14" x14ac:dyDescent="0.25">
      <c r="A2" s="5" t="s">
        <v>57</v>
      </c>
      <c r="B2" s="8">
        <v>0.5</v>
      </c>
      <c r="G2" s="5" t="s">
        <v>100</v>
      </c>
      <c r="H2" s="8">
        <v>0.5</v>
      </c>
      <c r="I2" s="23">
        <f>($B$7*H2+$B$9*J2)/$B$8</f>
        <v>6.2122432541280706E-2</v>
      </c>
      <c r="J2" s="8">
        <v>0</v>
      </c>
      <c r="K2" s="5">
        <v>0</v>
      </c>
      <c r="L2" s="5" t="s">
        <v>70</v>
      </c>
      <c r="M2" s="25">
        <f>'Budget Vs Actual'!$K$7-'Scenario Analysis'!K2</f>
        <v>2557425</v>
      </c>
      <c r="N2" s="24">
        <f>M2-Assumptions!$B$2</f>
        <v>157425</v>
      </c>
    </row>
    <row r="3" spans="1:14" x14ac:dyDescent="0.25">
      <c r="A3" s="5" t="s">
        <v>9</v>
      </c>
      <c r="B3" s="8">
        <v>6.2122432541280949E-2</v>
      </c>
      <c r="G3" s="5" t="s">
        <v>71</v>
      </c>
      <c r="H3" s="8">
        <v>0.35</v>
      </c>
      <c r="I3" s="8">
        <v>0.05</v>
      </c>
      <c r="J3" s="8">
        <v>0.05</v>
      </c>
      <c r="K3" s="24">
        <f>$B$7*H2-$B$8*I2+$B$9*J2</f>
        <v>0</v>
      </c>
      <c r="L3" s="5" t="s">
        <v>70</v>
      </c>
      <c r="M3" s="25">
        <f>'Budget Vs Actual'!$K$7-'Scenario Analysis'!K3</f>
        <v>2557425</v>
      </c>
      <c r="N3" s="24">
        <f>M3-Assumptions!$B$2</f>
        <v>157425</v>
      </c>
    </row>
    <row r="4" spans="1:14" x14ac:dyDescent="0.25">
      <c r="A4" s="5" t="s">
        <v>58</v>
      </c>
      <c r="B4" s="8">
        <v>0</v>
      </c>
      <c r="G4" s="5" t="s">
        <v>73</v>
      </c>
      <c r="H4" s="8">
        <v>0.80500000000000005</v>
      </c>
      <c r="I4" s="8">
        <v>0.1</v>
      </c>
      <c r="J4" s="8">
        <v>0</v>
      </c>
      <c r="K4" s="24">
        <f>$B$7*H4-$B$8*I4+$B$9*J4</f>
        <v>25.5</v>
      </c>
      <c r="L4" s="5" t="s">
        <v>72</v>
      </c>
      <c r="M4" s="25">
        <f>'Budget Vs Actual'!$K$7-'Scenario Analysis'!K4</f>
        <v>2557399.5</v>
      </c>
      <c r="N4" s="24">
        <f>M4-Assumptions!$B$2</f>
        <v>157399.5</v>
      </c>
    </row>
    <row r="6" spans="1:14" x14ac:dyDescent="0.25">
      <c r="A6" s="10" t="s">
        <v>15</v>
      </c>
      <c r="B6" s="10" t="s">
        <v>60</v>
      </c>
      <c r="C6" s="10" t="s">
        <v>61</v>
      </c>
      <c r="D6" s="10" t="s">
        <v>62</v>
      </c>
      <c r="E6" s="10" t="s">
        <v>63</v>
      </c>
    </row>
    <row r="7" spans="1:14" x14ac:dyDescent="0.25">
      <c r="A7" s="18" t="s">
        <v>17</v>
      </c>
      <c r="B7" s="6">
        <f>SUMIF('Budget Vs Actual'!$I$2:$I$6,'Scenario Analysis'!A7,'Budget Vs Actual'!$K$2:$K$6)</f>
        <v>185100</v>
      </c>
      <c r="C7" s="17">
        <f>-B2</f>
        <v>-0.5</v>
      </c>
      <c r="D7" s="9">
        <f>B7*(1+C7)</f>
        <v>92550</v>
      </c>
      <c r="E7" s="7">
        <f>B7-D7</f>
        <v>92550</v>
      </c>
    </row>
    <row r="8" spans="1:14" x14ac:dyDescent="0.25">
      <c r="A8" s="5" t="s">
        <v>0</v>
      </c>
      <c r="B8" s="6">
        <f>SUMIF('Budget Vs Actual'!$I$2:$I$6,'Scenario Analysis'!A8,'Budget Vs Actual'!$K$2:$K$6)</f>
        <v>1489800</v>
      </c>
      <c r="C8" s="17">
        <f>B3</f>
        <v>6.2122432541280949E-2</v>
      </c>
      <c r="D8" s="9">
        <f>B8*(1+C8)</f>
        <v>1582350.0000000005</v>
      </c>
      <c r="E8" s="7">
        <f>B8-D8</f>
        <v>-92550.000000000466</v>
      </c>
    </row>
    <row r="9" spans="1:14" x14ac:dyDescent="0.25">
      <c r="A9" s="5" t="s">
        <v>19</v>
      </c>
      <c r="B9" s="6">
        <f>SUMIF('Budget Vs Actual'!$I$2:$I$6,'Scenario Analysis'!A9,'Budget Vs Actual'!$K$2:$K$6)</f>
        <v>256150</v>
      </c>
      <c r="C9" s="17">
        <f>-B4</f>
        <v>0</v>
      </c>
      <c r="D9" s="9">
        <f>B9*(1+C9)</f>
        <v>256150</v>
      </c>
      <c r="E9" s="7">
        <f>B9-D9</f>
        <v>0</v>
      </c>
    </row>
    <row r="10" spans="1:14" x14ac:dyDescent="0.25">
      <c r="D10" s="10" t="s">
        <v>64</v>
      </c>
      <c r="E10" s="14">
        <f>SUM(E7:E9)</f>
        <v>-4.6566128730773926E-10</v>
      </c>
    </row>
    <row r="11" spans="1:14" x14ac:dyDescent="0.25">
      <c r="A11" s="1"/>
    </row>
    <row r="15" spans="1:14" x14ac:dyDescent="0.25">
      <c r="A15" s="1"/>
    </row>
  </sheetData>
  <scenarios current="0" show="0" sqref="E10">
    <scenario name="Reduction Zero Sum " locked="1" count="3" user="John Bordelon" comment="Created by John Bordelon on 10/23/2026_x000a_Modified by John Bordelon on 10/23/2026">
      <inputCells r="B2" val="0.5" numFmtId="175"/>
      <inputCells r="B3" val="0.062" numFmtId="175"/>
      <inputCells r="B4" val="0" numFmtId="175"/>
    </scenario>
  </scenarios>
  <mergeCells count="1">
    <mergeCell ref="A1:B1"/>
  </mergeCells>
  <pageMargins left="0.7" right="0.7" top="0.75" bottom="0.75" header="0.3" footer="0.3"/>
  <ignoredErrors>
    <ignoredError sqref="C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6F69-48A9-794A-A3E0-687F9833A9EA}">
  <dimension ref="A1:B21"/>
  <sheetViews>
    <sheetView topLeftCell="A5" workbookViewId="0">
      <selection activeCell="B21" sqref="B21"/>
    </sheetView>
  </sheetViews>
  <sheetFormatPr baseColWidth="10" defaultRowHeight="19" x14ac:dyDescent="0.25"/>
  <cols>
    <col min="1" max="1" width="27.5703125" bestFit="1" customWidth="1"/>
    <col min="2" max="2" width="12.140625" bestFit="1" customWidth="1"/>
  </cols>
  <sheetData>
    <row r="1" spans="1:2" x14ac:dyDescent="0.25">
      <c r="A1" s="10" t="s">
        <v>80</v>
      </c>
      <c r="B1" s="10" t="s">
        <v>12</v>
      </c>
    </row>
    <row r="2" spans="1:2" x14ac:dyDescent="0.25">
      <c r="A2" s="5" t="s">
        <v>81</v>
      </c>
      <c r="B2" s="37">
        <v>30</v>
      </c>
    </row>
    <row r="3" spans="1:2" x14ac:dyDescent="0.25">
      <c r="A3" s="5" t="s">
        <v>82</v>
      </c>
      <c r="B3" s="37">
        <v>40</v>
      </c>
    </row>
    <row r="4" spans="1:2" x14ac:dyDescent="0.25">
      <c r="A4" s="5" t="s">
        <v>83</v>
      </c>
      <c r="B4" s="37">
        <v>52</v>
      </c>
    </row>
    <row r="5" spans="1:2" x14ac:dyDescent="0.25">
      <c r="A5" s="5" t="s">
        <v>84</v>
      </c>
      <c r="B5" s="38">
        <v>0.8</v>
      </c>
    </row>
    <row r="6" spans="1:2" x14ac:dyDescent="0.25">
      <c r="A6" s="5" t="s">
        <v>85</v>
      </c>
      <c r="B6" s="37">
        <v>65000</v>
      </c>
    </row>
    <row r="7" spans="1:2" x14ac:dyDescent="0.25">
      <c r="B7" s="4"/>
    </row>
    <row r="8" spans="1:2" x14ac:dyDescent="0.25">
      <c r="A8" s="5" t="s">
        <v>86</v>
      </c>
      <c r="B8" s="37">
        <f>B2*B3*B4</f>
        <v>62400</v>
      </c>
    </row>
    <row r="9" spans="1:2" x14ac:dyDescent="0.25">
      <c r="A9" s="5" t="s">
        <v>87</v>
      </c>
      <c r="B9" s="37">
        <f>B8*B5</f>
        <v>49920</v>
      </c>
    </row>
    <row r="10" spans="1:2" x14ac:dyDescent="0.25">
      <c r="A10" s="5" t="s">
        <v>88</v>
      </c>
      <c r="B10" s="37">
        <f>B6-B9</f>
        <v>15080</v>
      </c>
    </row>
    <row r="11" spans="1:2" x14ac:dyDescent="0.25">
      <c r="A11" s="5" t="s">
        <v>89</v>
      </c>
      <c r="B11" s="37">
        <f>MAX(0,ROUNDUP(B10/(B3*B4*B5),0))</f>
        <v>10</v>
      </c>
    </row>
    <row r="13" spans="1:2" x14ac:dyDescent="0.25">
      <c r="A13" s="5" t="s">
        <v>90</v>
      </c>
      <c r="B13" s="6">
        <f>Assumptions!B4/'Resource Planning'!B2</f>
        <v>48000</v>
      </c>
    </row>
    <row r="14" spans="1:2" x14ac:dyDescent="0.25">
      <c r="A14" s="5" t="s">
        <v>91</v>
      </c>
      <c r="B14" s="6">
        <f>B13*(1+Assumptions!B11)</f>
        <v>60000</v>
      </c>
    </row>
    <row r="15" spans="1:2" x14ac:dyDescent="0.25">
      <c r="A15" s="5" t="s">
        <v>92</v>
      </c>
      <c r="B15" s="6">
        <f>B11*B14</f>
        <v>600000</v>
      </c>
    </row>
    <row r="17" spans="1:2" x14ac:dyDescent="0.25">
      <c r="A17" s="5" t="s">
        <v>93</v>
      </c>
      <c r="B17" s="24">
        <f>(B13/(B3*B4)*1.5)</f>
        <v>34.615384615384613</v>
      </c>
    </row>
    <row r="18" spans="1:2" x14ac:dyDescent="0.25">
      <c r="A18" s="24" t="s">
        <v>94</v>
      </c>
      <c r="B18" s="13">
        <f>'Budget Vs Actual'!K2/'Resource Planning'!B17</f>
        <v>5347.3333333333339</v>
      </c>
    </row>
    <row r="19" spans="1:2" x14ac:dyDescent="0.25">
      <c r="A19" s="5" t="s">
        <v>95</v>
      </c>
      <c r="B19" s="39">
        <f>B18*B5</f>
        <v>4277.8666666666677</v>
      </c>
    </row>
    <row r="20" spans="1:2" x14ac:dyDescent="0.25">
      <c r="A20" s="5" t="s">
        <v>96</v>
      </c>
      <c r="B20" s="40">
        <f>MAX(0,B10-B19)</f>
        <v>10802.133333333331</v>
      </c>
    </row>
    <row r="21" spans="1:2" x14ac:dyDescent="0.25">
      <c r="A21" s="5" t="s">
        <v>97</v>
      </c>
      <c r="B21" s="5">
        <f>ROUNDUP(B20/(B3*B4*B5),0)</f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52D3-C058-7B47-9C5C-0CFFF336D51F}">
  <dimension ref="A1:J64"/>
  <sheetViews>
    <sheetView showGridLines="0" tabSelected="1" zoomScale="90" zoomScaleNormal="90" workbookViewId="0">
      <selection activeCell="A70" sqref="A70"/>
    </sheetView>
  </sheetViews>
  <sheetFormatPr baseColWidth="10" defaultRowHeight="19" x14ac:dyDescent="0.25"/>
  <cols>
    <col min="1" max="1" width="30" customWidth="1"/>
    <col min="2" max="2" width="5.5703125" customWidth="1"/>
    <col min="3" max="3" width="8.7109375" customWidth="1"/>
    <col min="5" max="5" width="14.85546875" customWidth="1"/>
    <col min="6" max="6" width="7.7109375" hidden="1" customWidth="1"/>
    <col min="8" max="8" width="5.85546875" customWidth="1"/>
    <col min="9" max="9" width="10.7109375" customWidth="1"/>
    <col min="10" max="10" width="15.140625" customWidth="1"/>
  </cols>
  <sheetData>
    <row r="1" spans="1:10" ht="57" customHeight="1" x14ac:dyDescent="0.25">
      <c r="A1" s="29" t="s">
        <v>76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30" customHeight="1" x14ac:dyDescent="0.25">
      <c r="A2" s="28" t="s">
        <v>77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4" customHeight="1" x14ac:dyDescent="0.25"/>
    <row r="56" spans="1:10" ht="59" customHeight="1" x14ac:dyDescent="0.25">
      <c r="A56" s="30" t="s">
        <v>78</v>
      </c>
      <c r="B56" s="30"/>
      <c r="C56" s="30"/>
      <c r="D56" s="30"/>
      <c r="E56" s="30"/>
      <c r="F56" s="30"/>
      <c r="G56" s="30"/>
      <c r="H56" s="30"/>
      <c r="I56" s="30"/>
      <c r="J56" s="30"/>
    </row>
    <row r="57" spans="1:10" x14ac:dyDescent="0.25">
      <c r="A57" s="21" t="str">
        <f>'Scenario Analysis'!G1</f>
        <v>Scenario</v>
      </c>
      <c r="B57" s="22"/>
      <c r="C57" s="21" t="str">
        <f>'Scenario Analysis'!H1</f>
        <v>OT Reduction</v>
      </c>
      <c r="D57" s="22"/>
      <c r="E57" s="19" t="str">
        <f>'Scenario Analysis'!I1</f>
        <v>Salary Increase</v>
      </c>
      <c r="F57" s="19"/>
      <c r="G57" s="21" t="str">
        <f>'Scenario Analysis'!K1</f>
        <v xml:space="preserve"> Net Savings</v>
      </c>
      <c r="H57" s="22"/>
      <c r="I57" s="21" t="str">
        <f>'Scenario Analysis'!M1</f>
        <v>Projected Annual Spending</v>
      </c>
      <c r="J57" s="22"/>
    </row>
    <row r="58" spans="1:10" x14ac:dyDescent="0.25">
      <c r="A58" s="31" t="str">
        <f>'Scenario Analysis'!G2</f>
        <v xml:space="preserve">Cost-Neutral Compensation </v>
      </c>
      <c r="B58" s="31"/>
      <c r="C58" s="32">
        <f>'Scenario Analysis'!H2</f>
        <v>0.5</v>
      </c>
      <c r="D58" s="32"/>
      <c r="E58" s="32">
        <f>'Scenario Analysis'!I2</f>
        <v>6.2122432541280706E-2</v>
      </c>
      <c r="F58" s="32"/>
      <c r="G58" s="33">
        <f>'Scenario Analysis'!K2</f>
        <v>0</v>
      </c>
      <c r="H58" s="33"/>
      <c r="I58" s="34">
        <f>'Scenario Analysis'!M2</f>
        <v>2557425</v>
      </c>
      <c r="J58" s="34"/>
    </row>
    <row r="59" spans="1:10" x14ac:dyDescent="0.25">
      <c r="A59" s="31" t="str">
        <f>'Scenario Analysis'!G3</f>
        <v>Balanced Compensation</v>
      </c>
      <c r="B59" s="31"/>
      <c r="C59" s="32">
        <f>'Scenario Analysis'!H3</f>
        <v>0.35</v>
      </c>
      <c r="D59" s="32"/>
      <c r="E59" s="32">
        <f>'Scenario Analysis'!I3</f>
        <v>0.05</v>
      </c>
      <c r="F59" s="32"/>
      <c r="G59" s="33">
        <f>'Scenario Analysis'!K3</f>
        <v>0</v>
      </c>
      <c r="H59" s="33"/>
      <c r="I59" s="34">
        <f>'Scenario Analysis'!M3</f>
        <v>2557425</v>
      </c>
      <c r="J59" s="34"/>
    </row>
    <row r="60" spans="1:10" x14ac:dyDescent="0.25">
      <c r="A60" s="31" t="str">
        <f>'Scenario Analysis'!G4</f>
        <v>Aggressive Compensation</v>
      </c>
      <c r="B60" s="31"/>
      <c r="C60" s="32">
        <f>'Scenario Analysis'!H4</f>
        <v>0.80500000000000005</v>
      </c>
      <c r="D60" s="32"/>
      <c r="E60" s="32">
        <f>'Scenario Analysis'!I4</f>
        <v>0.1</v>
      </c>
      <c r="F60" s="32"/>
      <c r="G60" s="33">
        <f>'Scenario Analysis'!K4</f>
        <v>25.5</v>
      </c>
      <c r="H60" s="33"/>
      <c r="I60" s="34">
        <f>'Scenario Analysis'!M4</f>
        <v>2557399.5</v>
      </c>
      <c r="J60" s="34"/>
    </row>
    <row r="61" spans="1:10" ht="37" x14ac:dyDescent="0.25">
      <c r="A61" s="30" t="s">
        <v>79</v>
      </c>
      <c r="B61" s="30"/>
      <c r="C61" s="30"/>
      <c r="D61" s="30"/>
      <c r="E61" s="30"/>
      <c r="F61" s="30"/>
      <c r="G61" s="30"/>
      <c r="H61" s="30"/>
      <c r="I61" s="30"/>
      <c r="J61" s="30"/>
    </row>
    <row r="62" spans="1:10" ht="296" customHeight="1" x14ac:dyDescent="0.25">
      <c r="A62" s="35" t="s">
        <v>98</v>
      </c>
      <c r="B62" s="36"/>
      <c r="C62" s="36"/>
      <c r="D62" s="36"/>
      <c r="E62" s="36"/>
      <c r="F62" s="36"/>
      <c r="G62" s="36"/>
      <c r="H62" s="36"/>
      <c r="I62" s="36"/>
      <c r="J62" s="36"/>
    </row>
    <row r="64" spans="1:10" x14ac:dyDescent="0.25">
      <c r="A64" t="s">
        <v>102</v>
      </c>
    </row>
  </sheetData>
  <mergeCells count="24">
    <mergeCell ref="I58:J58"/>
    <mergeCell ref="I59:J59"/>
    <mergeCell ref="I60:J60"/>
    <mergeCell ref="A61:J61"/>
    <mergeCell ref="A62:J62"/>
    <mergeCell ref="E58:F58"/>
    <mergeCell ref="E59:F59"/>
    <mergeCell ref="E60:F60"/>
    <mergeCell ref="G57:H57"/>
    <mergeCell ref="G59:H59"/>
    <mergeCell ref="G58:H58"/>
    <mergeCell ref="G60:H60"/>
    <mergeCell ref="A58:B58"/>
    <mergeCell ref="A59:B59"/>
    <mergeCell ref="A60:B60"/>
    <mergeCell ref="C57:D57"/>
    <mergeCell ref="C58:D58"/>
    <mergeCell ref="C59:D59"/>
    <mergeCell ref="C60:D60"/>
    <mergeCell ref="A1:J1"/>
    <mergeCell ref="A2:J2"/>
    <mergeCell ref="A56:J56"/>
    <mergeCell ref="A57:B57"/>
    <mergeCell ref="I57:J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Budget Vs Actual</vt:lpstr>
      <vt:lpstr>Scenario Analysis</vt:lpstr>
      <vt:lpstr>Resource Planning</vt:lpstr>
      <vt:lpstr>Executive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Bordelon</dc:creator>
  <cp:lastModifiedBy>John Bordelon</cp:lastModifiedBy>
  <dcterms:created xsi:type="dcterms:W3CDTF">2026-10-22T21:44:46Z</dcterms:created>
  <dcterms:modified xsi:type="dcterms:W3CDTF">2026-10-23T13:51:46Z</dcterms:modified>
</cp:coreProperties>
</file>